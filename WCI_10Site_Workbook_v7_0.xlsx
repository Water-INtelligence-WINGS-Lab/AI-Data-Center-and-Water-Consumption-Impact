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5b8522cc6d4530" /></Relationships>
</file>

<file path=xl/workbook.xml><?xml version="1.0" encoding="utf-8"?>
<x:workbook xmlns:x="http://schemas.openxmlformats.org/spreadsheetml/2006/main">
  <x:sheets>
    <x:sheet xmlns:r="http://schemas.openxmlformats.org/officeDocument/2006/relationships" name="0. Overview &amp; Methods" sheetId="1" r:id="R310946e75d55472d"/>
    <x:sheet xmlns:r="http://schemas.openxmlformats.org/officeDocument/2006/relationships" name="1. Inputs &amp; Evidence" sheetId="2" r:id="Rf182d8883e264916"/>
    <x:sheet xmlns:r="http://schemas.openxmlformats.org/officeDocument/2006/relationships" name="2. WCI &amp; PDLR" sheetId="3" r:id="Rc81427b754e1468b"/>
    <x:sheet xmlns:r="http://schemas.openxmlformats.org/officeDocument/2006/relationships" name="3. Community Context" sheetId="4" r:id="Re5a82eb394ba4ce5"/>
    <x:sheet xmlns:r="http://schemas.openxmlformats.org/officeDocument/2006/relationships" name="4. Scenarios &amp; Uncertainty" sheetId="5" r:id="Rf434b9aab9f2474f"/>
    <x:sheet xmlns:r="http://schemas.openxmlformats.org/officeDocument/2006/relationships" name="5. Summary" sheetId="6" r:id="Refea1de30d354c08"/>
    <x:sheet xmlns:r="http://schemas.openxmlformats.org/officeDocument/2006/relationships" name="6. Figure Data" sheetId="7" r:id="R64cfb7e49e2f4db8"/>
    <x:sheet xmlns:r="http://schemas.openxmlformats.org/officeDocument/2006/relationships" name="7. Validation &amp; Sensitivity" sheetId="8" r:id="R1ba5a015b7df4af8"/>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000000"/>
    <x:numFmt numFmtId="201" formatCode="0.000%"/>
    <x:numFmt numFmtId="202" formatCode="0.00E+00"/>
    <x:numFmt numFmtId="203" formatCode="0.000000000000"/>
    <x:numFmt numFmtId="204" formatCode="#,##0"/>
    <x:numFmt numFmtId="205" formatCode="0.000"/>
    <x:numFmt numFmtId="206" formatCode="0"/>
    <x:numFmt numFmtId="207" formatCode="0%"/>
    <x:numFmt numFmtId="208" formatCode="0.0"/>
  </x:numFmts>
  <x:fonts count="9">
    <x:font>
      <x:sz val="11"/>
      <x:name val="Carlito"/>
    </x:font>
    <x:font>
      <x:b/>
      <x:sz val="15"/>
      <x:color rgb="FFFFFFFF"/>
      <x:name val="Arial"/>
    </x:font>
    <x:font>
      <x:b/>
      <x:sz val="10"/>
      <x:color rgb="FFFFFFFF"/>
      <x:name val="Arial"/>
    </x:font>
    <x:font>
      <x:b/>
      <x:sz val="10"/>
      <x:color rgb="FF1F2937"/>
      <x:name val="Arial"/>
    </x:font>
    <x:font>
      <x:sz val="10"/>
      <x:name val="Arial"/>
    </x:font>
    <x:font>
      <x:sz val="10"/>
      <x:color rgb="FF1F2937"/>
      <x:name val="Arial"/>
    </x:font>
    <x:font>
      <x:b/>
      <x:sz val="10"/>
      <x:name val="Arial"/>
    </x:font>
    <x:font>
      <x:sz val="11"/>
      <x:name val="Arial"/>
    </x:font>
    <x:font>
      <x:i/>
      <x:sz val="9"/>
      <x:name val="Arial"/>
    </x:font>
  </x:fonts>
  <x:fills count="8">
    <x:fill>
      <x:patternFill patternType="none"/>
    </x:fill>
    <x:fill>
      <x:patternFill patternType="gray125"/>
    </x:fill>
    <x:fill>
      <x:patternFill patternType="solid">
        <x:fgColor rgb="FF203864"/>
      </x:patternFill>
    </x:fill>
    <x:fill>
      <x:patternFill patternType="solid">
        <x:fgColor rgb="FF315A9E"/>
      </x:patternFill>
    </x:fill>
    <x:fill>
      <x:patternFill patternType="solid">
        <x:fgColor rgb="FFD9E4F5"/>
      </x:patternFill>
    </x:fill>
    <x:fill>
      <x:patternFill patternType="solid">
        <x:fgColor rgb="FFF3F5F8"/>
      </x:patternFill>
    </x:fill>
    <x:fill>
      <x:patternFill patternType="solid">
        <x:fgColor rgb="FFFFF2CC"/>
      </x:patternFill>
    </x:fill>
    <x:fill>
      <x:patternFill patternType="solid">
        <x:fgColor rgb="FFEEF3FA"/>
      </x:patternFill>
    </x:fill>
  </x:fills>
  <x:borders count="6">
    <x:border>
      <x:left/>
      <x:right/>
      <x:top/>
      <x:bottom/>
      <x:diagonal/>
    </x:border>
    <x:border>
      <x:left style="thin">
        <x:color rgb="FFB7C1CE"/>
      </x:left>
      <x:right/>
      <x:top style="thin">
        <x:color rgb="FFB7C1CE"/>
      </x:top>
      <x:bottom style="thin">
        <x:color rgb="FFB7C1CE"/>
      </x:bottom>
      <x:diagonal/>
    </x:border>
    <x:border>
      <x:left/>
      <x:right/>
      <x:top style="thin">
        <x:color rgb="FFB7C1CE"/>
      </x:top>
      <x:bottom style="thin">
        <x:color rgb="FFB7C1CE"/>
      </x:bottom>
      <x:diagonal/>
    </x:border>
    <x:border>
      <x:left/>
      <x:right style="thin">
        <x:color rgb="FFB7C1CE"/>
      </x:right>
      <x:top style="thin">
        <x:color rgb="FFB7C1CE"/>
      </x:top>
      <x:bottom style="thin">
        <x:color rgb="FFB7C1CE"/>
      </x:bottom>
      <x:diagonal/>
    </x:border>
    <x:border>
      <x:left style="thin">
        <x:color rgb="FFFFFFFF"/>
      </x:left>
      <x:right style="thin">
        <x:color rgb="FFFFFFFF"/>
      </x:right>
      <x:top style="thin">
        <x:color rgb="FFFFFFFF"/>
      </x:top>
      <x:bottom style="thin">
        <x:color rgb="FFFFFFFF"/>
      </x:bottom>
      <x:diagonal/>
    </x:border>
    <x:border>
      <x:left style="thin">
        <x:color rgb="FFB7C1CE"/>
      </x:left>
      <x:right style="thin">
        <x:color rgb="FFB7C1CE"/>
      </x:right>
      <x:top style="thin">
        <x:color rgb="FFB7C1CE"/>
      </x:top>
      <x:bottom style="thin">
        <x:color rgb="FFB7C1CE"/>
      </x:bottom>
      <x:diagonal/>
    </x:border>
  </x:borders>
  <x:cellStyleXfs count="1">
    <x:xf numFmtId="0" fontId="0" fillId="0" borderId="0"/>
  </x:cellStyleXfs>
  <x:cellXfs count="8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3"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2" fillId="3" borderId="4" xfId="0" applyNumberFormat="1" applyFont="1" applyFill="1" applyBorder="1"/>
    <x:xf numFmtId="0" fontId="2" fillId="3" borderId="4" xfId="0" applyNumberFormat="1" applyFont="1" applyFill="1" applyBorder="1" applyAlignment="1">
      <x:alignment wrapText="1"/>
    </x:xf>
    <x:xf numFmtId="0" fontId="2" fillId="3" borderId="4" xfId="0" applyNumberFormat="1" applyFont="1" applyFill="1" applyBorder="1" applyAlignment="1">
      <x:alignment horizontal="center" wrapText="1"/>
    </x:xf>
    <x:xf numFmtId="0" fontId="2" fillId="3" borderId="4" xfId="0" applyNumberFormat="1" applyFont="1" applyFill="1" applyBorder="1" applyAlignment="1">
      <x:alignment horizontal="center" vertical="center" wrapText="1"/>
    </x:xf>
    <x:xf numFmtId="0" fontId="5" fillId="0" borderId="0" xfId="0" applyNumberFormat="1" applyFont="1" applyFill="1" applyBorder="1"/>
    <x:xf numFmtId="0" fontId="5" fillId="0" borderId="5" xfId="0" applyNumberFormat="1" applyFont="1" applyFill="1" applyBorder="1"/>
    <x:xf numFmtId="0" fontId="5" fillId="0" borderId="5" xfId="0" applyNumberFormat="1" applyFont="1" applyFill="1" applyBorder="1" applyAlignment="1">
      <x:alignment vertical="center"/>
    </x:xf>
    <x:xf numFmtId="0" fontId="5" fillId="5" borderId="5" xfId="0" applyNumberFormat="1" applyFont="1" applyFill="1" applyBorder="1" applyAlignment="1">
      <x:alignment vertical="center"/>
    </x:xf>
    <x:xf numFmtId="0" fontId="3" fillId="0" borderId="5" xfId="0" applyNumberFormat="1" applyFont="1" applyFill="1" applyBorder="1" applyAlignment="1">
      <x:alignment vertical="center"/>
    </x:xf>
    <x:xf numFmtId="0" fontId="3" fillId="5" borderId="5" xfId="0" applyNumberFormat="1" applyFont="1" applyFill="1" applyBorder="1" applyAlignment="1">
      <x:alignment vertical="center"/>
    </x:xf>
    <x:xf numFmtId="0" fontId="5" fillId="0" borderId="5"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6" fillId="0"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200" fontId="5" fillId="0" borderId="5" xfId="0" applyNumberFormat="1" applyFont="1" applyFill="1" applyBorder="1" applyAlignment="1">
      <x:alignment vertical="center"/>
    </x:xf>
    <x:xf numFmtId="200" fontId="5" fillId="5" borderId="5" xfId="0" applyNumberFormat="1" applyFont="1" applyFill="1" applyBorder="1" applyAlignment="1">
      <x:alignment vertical="center"/>
    </x:xf>
    <x:xf numFmtId="201" fontId="5" fillId="0" borderId="5" xfId="0" applyNumberFormat="1" applyFont="1" applyFill="1" applyBorder="1" applyAlignment="1">
      <x:alignment vertical="center"/>
    </x:xf>
    <x:xf numFmtId="201" fontId="5" fillId="5" borderId="5" xfId="0" applyNumberFormat="1" applyFont="1" applyFill="1" applyBorder="1" applyAlignment="1">
      <x:alignment vertical="center"/>
    </x:xf>
    <x:xf numFmtId="202" fontId="5" fillId="0" borderId="5" xfId="0" applyNumberFormat="1" applyFont="1" applyFill="1" applyBorder="1" applyAlignment="1">
      <x:alignment vertical="center"/>
    </x:xf>
    <x:xf numFmtId="202" fontId="5" fillId="5" borderId="5" xfId="0" applyNumberFormat="1" applyFont="1" applyFill="1" applyBorder="1" applyAlignment="1">
      <x:alignment vertical="center"/>
    </x:xf>
    <x:xf numFmtId="0" fontId="8" fillId="0" borderId="0" xfId="0" applyNumberFormat="1" applyFont="1" applyFill="1" applyBorder="1"/>
    <x:xf numFmtId="0" fontId="8" fillId="0" borderId="0" xfId="0" applyNumberFormat="1" applyFont="1" applyFill="1" applyBorder="1" applyAlignment="1">
      <x:alignment wrapText="1"/>
    </x:xf>
    <x:xf numFmtId="0" fontId="5" fillId="6" borderId="5" xfId="0" applyNumberFormat="1" applyFont="1" applyFill="1" applyBorder="1" applyAlignment="1">
      <x:alignment vertical="center"/>
    </x:xf>
    <x:xf numFmtId="0" fontId="5" fillId="7" borderId="5" xfId="0" applyNumberFormat="1" applyFont="1" applyFill="1" applyBorder="1" applyAlignment="1">
      <x:alignment vertical="center"/>
    </x:xf>
    <x:xf numFmtId="203" fontId="5" fillId="6" borderId="5" xfId="0" applyNumberFormat="1" applyFont="1" applyFill="1" applyBorder="1" applyAlignment="1">
      <x:alignment vertical="center"/>
    </x:xf>
    <x:xf numFmtId="203" fontId="5" fillId="7" borderId="5" xfId="0" applyNumberFormat="1" applyFont="1" applyFill="1" applyBorder="1" applyAlignment="1">
      <x:alignment vertical="center"/>
    </x:xf>
    <x:xf numFmtId="0" fontId="5" fillId="0" borderId="5" xfId="0" applyNumberFormat="1" applyFont="1" applyFill="1" applyBorder="1" applyAlignment="1">
      <x:alignment horizontal="center" vertical="center"/>
    </x:xf>
    <x:xf numFmtId="0" fontId="5" fillId="5" borderId="5" xfId="0" applyNumberFormat="1" applyFont="1" applyFill="1" applyBorder="1" applyAlignment="1">
      <x:alignment horizontal="center" vertical="center"/>
    </x:xf>
    <x:xf numFmtId="0" fontId="5" fillId="0" borderId="5" xfId="0" applyNumberFormat="1" applyFont="1" applyFill="1" applyBorder="1" applyAlignment="1">
      <x:alignment vertical="center" wrapText="0"/>
    </x:xf>
    <x:xf numFmtId="203" fontId="5" fillId="6" borderId="5" xfId="0" applyNumberFormat="1" applyFont="1" applyFill="1" applyBorder="1" applyAlignment="1">
      <x:alignment vertical="center" wrapText="0"/>
    </x:xf>
    <x:xf numFmtId="0" fontId="5" fillId="0" borderId="5" xfId="0" applyNumberFormat="1" applyFont="1" applyFill="1" applyBorder="1" applyAlignment="1">
      <x:alignment horizontal="center" vertical="center" wrapText="0"/>
    </x:xf>
    <x:xf numFmtId="0" fontId="5" fillId="5" borderId="5" xfId="0" applyNumberFormat="1" applyFont="1" applyFill="1" applyBorder="1" applyAlignment="1">
      <x:alignment vertical="center" wrapText="0"/>
    </x:xf>
    <x:xf numFmtId="0" fontId="5" fillId="5" borderId="5" xfId="0" applyNumberFormat="1" applyFont="1" applyFill="1" applyBorder="1" applyAlignment="1">
      <x:alignment horizontal="center" vertical="center" wrapText="0"/>
    </x:xf>
    <x:xf numFmtId="203" fontId="5" fillId="7" borderId="5" xfId="0" applyNumberFormat="1" applyFont="1" applyFill="1" applyBorder="1" applyAlignment="1">
      <x:alignment vertical="center" wrapText="0"/>
    </x:xf>
    <x:xf numFmtId="0" fontId="5" fillId="6" borderId="5" xfId="0" applyNumberFormat="1" applyFont="1" applyFill="1" applyBorder="1" applyAlignment="1">
      <x:alignment vertical="center" wrapText="0"/>
    </x:xf>
    <x:xf numFmtId="0" fontId="8" fillId="0" borderId="0" xfId="0" applyNumberFormat="1" applyFont="1" applyFill="1" applyBorder="1" applyAlignment="1">
      <x:alignment vertical="center" wrapText="1"/>
    </x:xf>
    <x:xf numFmtId="200" fontId="5" fillId="6" borderId="5" xfId="0" applyNumberFormat="1" applyFont="1" applyFill="1" applyBorder="1" applyAlignment="1">
      <x:alignment vertical="center"/>
    </x:xf>
    <x:xf numFmtId="204" fontId="5" fillId="6" borderId="5" xfId="0" applyNumberFormat="1" applyFont="1" applyFill="1" applyBorder="1" applyAlignment="1">
      <x:alignment vertical="center"/>
    </x:xf>
    <x:xf numFmtId="204" fontId="5" fillId="0" borderId="5" xfId="0" applyNumberFormat="1" applyFont="1" applyFill="1" applyBorder="1" applyAlignment="1">
      <x:alignment vertical="center"/>
    </x:xf>
    <x:xf numFmtId="204" fontId="5" fillId="5" borderId="5" xfId="0" applyNumberFormat="1" applyFont="1" applyFill="1" applyBorder="1" applyAlignment="1">
      <x:alignment vertical="center"/>
    </x:xf>
    <x:xf numFmtId="204" fontId="5" fillId="0" borderId="5" xfId="0" applyNumberFormat="1" applyFont="1" applyFill="1" applyBorder="1" applyAlignment="1">
      <x:alignment vertical="center" wrapText="1"/>
    </x:xf>
    <x:xf numFmtId="201" fontId="5" fillId="0" borderId="5" xfId="0" applyNumberFormat="1" applyFont="1" applyFill="1" applyBorder="1" applyAlignment="1">
      <x:alignment vertical="center" wrapText="1"/>
    </x:xf>
    <x:xf numFmtId="204" fontId="5" fillId="5" borderId="5" xfId="0" applyNumberFormat="1" applyFont="1" applyFill="1" applyBorder="1" applyAlignment="1">
      <x:alignment vertical="center" wrapText="1"/>
    </x:xf>
    <x:xf numFmtId="201" fontId="5" fillId="5" borderId="5" xfId="0" applyNumberFormat="1" applyFont="1" applyFill="1" applyBorder="1" applyAlignment="1">
      <x:alignment vertical="center" wrapText="1"/>
    </x:xf>
    <x:xf numFmtId="0" fontId="0" fillId="6" borderId="0" xfId="0" applyNumberFormat="1" applyFont="1" applyFill="1" applyBorder="1"/>
    <x:xf numFmtId="0" fontId="0" fillId="7" borderId="0" xfId="0" applyNumberFormat="1" applyFont="1" applyFill="1" applyBorder="1"/>
    <x:xf numFmtId="0" fontId="3" fillId="0" borderId="0" xfId="0" applyNumberFormat="1" applyFont="1" applyFill="1" applyBorder="1"/>
    <x:xf numFmtId="0" fontId="5" fillId="6" borderId="0" xfId="0" applyNumberFormat="1" applyFont="1" applyFill="1" applyBorder="1"/>
    <x:xf numFmtId="0" fontId="5" fillId="7" borderId="0" xfId="0" applyNumberFormat="1" applyFont="1" applyFill="1" applyBorder="1"/>
    <x:xf numFmtId="0" fontId="3" fillId="0" borderId="5" xfId="0" applyNumberFormat="1" applyFont="1" applyFill="1" applyBorder="1"/>
    <x:xf numFmtId="0" fontId="5" fillId="6" borderId="5" xfId="0" applyNumberFormat="1" applyFont="1" applyFill="1" applyBorder="1"/>
    <x:xf numFmtId="0" fontId="5" fillId="7" borderId="5" xfId="0" applyNumberFormat="1" applyFont="1" applyFill="1" applyBorder="1"/>
    <x:xf numFmtId="200" fontId="5" fillId="0" borderId="5" xfId="0" applyNumberFormat="1" applyFont="1" applyFill="1" applyBorder="1" applyAlignment="1">
      <x:alignment vertical="center" wrapText="1"/>
    </x:xf>
    <x:xf numFmtId="200" fontId="5" fillId="5" borderId="5" xfId="0" applyNumberFormat="1" applyFont="1" applyFill="1" applyBorder="1" applyAlignment="1">
      <x:alignment vertical="center" wrapText="1"/>
    </x:xf>
    <x:xf numFmtId="205" fontId="5" fillId="6" borderId="5" xfId="0" applyNumberFormat="1" applyFont="1" applyFill="1" applyBorder="1" applyAlignment="1">
      <x:alignment vertical="center"/>
    </x:xf>
    <x:xf numFmtId="205" fontId="5" fillId="0" borderId="5" xfId="0" applyNumberFormat="1" applyFont="1" applyFill="1" applyBorder="1" applyAlignment="1">
      <x:alignment vertical="center"/>
    </x:xf>
    <x:xf numFmtId="205" fontId="5" fillId="5" borderId="5" xfId="0" applyNumberFormat="1" applyFont="1" applyFill="1" applyBorder="1" applyAlignment="1">
      <x:alignment vertical="center"/>
    </x:xf>
    <x:xf numFmtId="206" fontId="5" fillId="0" borderId="5" xfId="0" applyNumberFormat="1" applyFont="1" applyFill="1" applyBorder="1" applyAlignment="1">
      <x:alignment vertical="center"/>
    </x:xf>
    <x:xf numFmtId="206" fontId="5" fillId="5" borderId="5" xfId="0" applyNumberFormat="1" applyFont="1" applyFill="1" applyBorder="1" applyAlignment="1">
      <x:alignment vertical="center"/>
    </x:xf>
    <x:xf numFmtId="207" fontId="5" fillId="6" borderId="5" xfId="0" applyNumberFormat="1" applyFont="1" applyFill="1" applyBorder="1" applyAlignment="1">
      <x:alignment vertical="center"/>
    </x:xf>
    <x:xf numFmtId="208" fontId="5" fillId="0" borderId="5" xfId="0" applyNumberFormat="1" applyFont="1" applyFill="1" applyBorder="1" applyAlignment="1">
      <x:alignment vertical="center"/>
    </x:xf>
    <x:xf numFmtId="208" fontId="5" fillId="5" borderId="5"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0b42ff6aa64e69" /><Relationship Type="http://schemas.openxmlformats.org/officeDocument/2006/relationships/theme" Target="/xl/theme/theme1.xml" Id="R0e343cebefed4f7e" /><Relationship Type="http://schemas.openxmlformats.org/officeDocument/2006/relationships/sharedStrings" Target="/xl/sharedStrings.xml" Id="R5520e0f67c4a4c27" /><Relationship Type="http://schemas.openxmlformats.org/officeDocument/2006/relationships/worksheet" Target="/xl/worksheets/sheet1.xml" Id="R310946e75d55472d" /><Relationship Type="http://schemas.openxmlformats.org/officeDocument/2006/relationships/worksheet" Target="/xl/worksheets/sheet2.xml" Id="Rf182d8883e264916" /><Relationship Type="http://schemas.openxmlformats.org/officeDocument/2006/relationships/worksheet" Target="/xl/worksheets/sheet3.xml" Id="Rc81427b754e1468b" /><Relationship Type="http://schemas.openxmlformats.org/officeDocument/2006/relationships/worksheet" Target="/xl/worksheets/sheet4.xml" Id="Re5a82eb394ba4ce5" /><Relationship Type="http://schemas.openxmlformats.org/officeDocument/2006/relationships/worksheet" Target="/xl/worksheets/sheet5.xml" Id="Rf434b9aab9f2474f" /><Relationship Type="http://schemas.openxmlformats.org/officeDocument/2006/relationships/worksheet" Target="/xl/worksheets/sheet6.xml" Id="Refea1de30d354c08" /><Relationship Type="http://schemas.openxmlformats.org/officeDocument/2006/relationships/worksheet" Target="/xl/worksheets/sheet7.xml" Id="R64cfb7e49e2f4db8" /><Relationship Type="http://schemas.openxmlformats.org/officeDocument/2006/relationships/worksheet" Target="/xl/worksheets/sheet8.xml" Id="R1ba5a015b7df4af8" /></Relationships>
</file>

<file path=xl/drawings/_rels/drawing1.xml.rels>&#65279;<?xml version="1.0" encoding="utf-8"?><Relationships xmlns="http://schemas.openxmlformats.org/package/2006/relationships"><Relationship Type="http://schemas.openxmlformats.org/officeDocument/2006/relationships/chart" Target="/xl/drawings/charts/chart1.xml" Id="R7cc0a3740e6c4794" /><Relationship Type="http://schemas.openxmlformats.org/officeDocument/2006/relationships/chart" Target="/xl/drawings/charts/chart2.xml" Id="R9443f3fcf78645f8" /><Relationship Type="http://schemas.openxmlformats.org/officeDocument/2006/relationships/chart" Target="/xl/drawings/charts/chart3.xml" Id="R3369258c5dc84451" /><Relationship Type="http://schemas.openxmlformats.org/officeDocument/2006/relationships/chart" Target="/xl/drawings/charts/chart4.xml" Id="Rf032bf976f4e47c1" /><Relationship Type="http://schemas.openxmlformats.org/officeDocument/2006/relationships/chart" Target="/xl/drawings/charts/chart5.xml" Id="R847b729133714d23" /><Relationship Type="http://schemas.openxmlformats.org/officeDocument/2006/relationships/chart" Target="/xl/drawings/charts/chart6.xml" Id="R2eea47968439415b" /><Relationship Type="http://schemas.openxmlformats.org/officeDocument/2006/relationships/chart" Target="/xl/drawings/charts/chart7.xml" Id="R1538db35af1d4f3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WCI and PDLR by case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WCI</c:v>
          </c:tx>
          <c:spPr>
            <a:solidFill xmlns:a="http://schemas.openxmlformats.org/drawingml/2006/main">
              <a:srgbClr val="0F7C8C"/>
            </a:solidFill>
          </c:spPr>
          <c:cat>
            <c:strRef>
              <c:f>'6. Figure Data'!$A$6:$A$15</c:f>
              <c:strCache>
                <c:ptCount val="0"/>
              </c:strCache>
            </c:strRef>
          </c:cat>
          <c:val>
            <c:numRef>
              <c:f>'6. Figure Data'!$B$6:$B$15</c:f>
              <c:numCache>
                <c:formatCode>0.000%</c:formatCode>
                <c:ptCount val="0"/>
              </c:numCache>
            </c:numRef>
          </c:val>
        </c:ser>
        <c:ser>
          <c:idx val="1"/>
          <c:order val="1"/>
          <c:tx>
            <c:v>PDLR</c:v>
          </c:tx>
          <c:spPr>
            <a:solidFill xmlns:a="http://schemas.openxmlformats.org/drawingml/2006/main">
              <a:srgbClr val="ED8A24"/>
            </a:solidFill>
          </c:spPr>
          <c:cat>
            <c:strRef>
              <c:f>'6. Figure Data'!$A$6:$A$15</c:f>
              <c:strCache>
                <c:ptCount val="0"/>
              </c:strCache>
            </c:strRef>
          </c:cat>
          <c:val>
            <c:numRef>
              <c:f>'6. Figure Data'!$C$6:$C$15</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Annual household-use equivalents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Household equivalent</c:v>
          </c:tx>
          <c:spPr>
            <a:solidFill xmlns:a="http://schemas.openxmlformats.org/drawingml/2006/main">
              <a:srgbClr val="7A56A5"/>
            </a:solidFill>
          </c:spPr>
          <c:cat>
            <c:strRef>
              <c:f>'6. Figure Data'!$A$20:$A$25</c:f>
              <c:strCache>
                <c:ptCount val="0"/>
              </c:strCache>
            </c:strRef>
          </c:cat>
          <c:val>
            <c:numRef>
              <c:f>'6. Figure Data'!$B$20:$B$25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Community withdrawal-equivalent share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Community share</c:v>
          </c:tx>
          <c:spPr>
            <a:solidFill xmlns:a="http://schemas.openxmlformats.org/drawingml/2006/main">
              <a:srgbClr val="447B4A"/>
            </a:solidFill>
          </c:spPr>
          <c:cat>
            <c:strRef>
              <c:f>'6. Figure Data'!$H$20:$H$25</c:f>
              <c:strCache>
                <c:ptCount val="0"/>
              </c:strCache>
            </c:strRef>
          </c:cat>
          <c:val>
            <c:numRef>
              <c:f>'6. Figure Data'!$I$20:$I$25</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Factor profiles — Demand/K and r</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Demand / K</c:v>
          </c:tx>
          <c:spPr>
            <a:solidFill xmlns:a="http://schemas.openxmlformats.org/drawingml/2006/main">
              <a:srgbClr val="0F7C8C"/>
            </a:solidFill>
          </c:spPr>
          <c:cat>
            <c:strRef>
              <c:f>'6. Figure Data'!$A$31:$A$40</c:f>
              <c:strCache>
                <c:ptCount val="0"/>
              </c:strCache>
            </c:strRef>
          </c:cat>
          <c:val>
            <c:numRef>
              <c:f>'6. Figure Data'!$B$31:$B$40</c:f>
              <c:numCache>
                <c:formatCode>0.000000</c:formatCode>
                <c:ptCount val="0"/>
              </c:numCache>
            </c:numRef>
          </c:val>
        </c:ser>
        <c:ser>
          <c:idx val="1"/>
          <c:order val="1"/>
          <c:tx>
            <c:v>r</c:v>
          </c:tx>
          <c:spPr>
            <a:solidFill xmlns:a="http://schemas.openxmlformats.org/drawingml/2006/main">
              <a:srgbClr val="ED8A24"/>
            </a:solidFill>
          </c:spPr>
          <c:cat>
            <c:strRef>
              <c:f>'6. Figure Data'!$A$31:$A$40</c:f>
              <c:strCache>
                <c:ptCount val="0"/>
              </c:strCache>
            </c:strRef>
          </c:cat>
          <c:val>
            <c:numRef>
              <c:f>'6. Figure Data'!$C$31:$C$40</c:f>
              <c:numCache>
                <c:formatCode>0.000000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Factor profiles — Peaking factor</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PF</c:v>
          </c:tx>
          <c:spPr>
            <a:solidFill xmlns:a="http://schemas.openxmlformats.org/drawingml/2006/main">
              <a:srgbClr val="7A56A5"/>
            </a:solidFill>
          </c:spPr>
          <c:cat>
            <c:strRef>
              <c:f>'6. Figure Data'!$G$31:$G$40</c:f>
              <c:strCache>
                <c:ptCount val="0"/>
              </c:strCache>
            </c:strRef>
          </c:cat>
          <c:val>
            <c:numRef>
              <c:f>'6. Figure Data'!$H$31:$H$40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WCI parameter-range check</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WCI low</c:v>
          </c:tx>
          <c:cat>
            <c:strRef>
              <c:f>'6. Figure Data'!$A$46:$A$49</c:f>
              <c:strCache>
                <c:ptCount val="0"/>
              </c:strCache>
            </c:strRef>
          </c:cat>
          <c:val>
            <c:numRef>
              <c:f>'6. Figure Data'!$B$46:$B$49</c:f>
              <c:numCache>
                <c:formatCode>0.000%</c:formatCode>
                <c:ptCount val="0"/>
              </c:numCache>
            </c:numRef>
          </c:val>
        </c:ser>
        <c:ser>
          <c:idx val="1"/>
          <c:order val="1"/>
          <c:tx>
            <c:v>WCI central</c:v>
          </c:tx>
          <c:cat>
            <c:strRef>
              <c:f>'6. Figure Data'!$A$46:$A$49</c:f>
              <c:strCache>
                <c:ptCount val="0"/>
              </c:strCache>
            </c:strRef>
          </c:cat>
          <c:val>
            <c:numRef>
              <c:f>'6. Figure Data'!$C$46:$C$49</c:f>
              <c:numCache>
                <c:formatCode>0.000%</c:formatCode>
                <c:ptCount val="0"/>
              </c:numCache>
            </c:numRef>
          </c:val>
        </c:ser>
        <c:ser>
          <c:idx val="2"/>
          <c:order val="2"/>
          <c:tx>
            <c:v>WCI high</c:v>
          </c:tx>
          <c:cat>
            <c:strRef>
              <c:f>'6. Figure Data'!$A$46:$A$49</c:f>
              <c:strCache>
                <c:ptCount val="0"/>
              </c:strCache>
            </c:strRef>
          </c:cat>
          <c:val>
            <c:numRef>
              <c:f>'6. Figure Data'!$D$46:$D$49</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PDLR parameter-range check</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PDLR low</c:v>
          </c:tx>
          <c:cat>
            <c:strRef>
              <c:f>'6. Figure Data'!$H$46:$H$49</c:f>
              <c:strCache>
                <c:ptCount val="0"/>
              </c:strCache>
            </c:strRef>
          </c:cat>
          <c:val>
            <c:numRef>
              <c:f>'6. Figure Data'!$I$46:$I$49</c:f>
              <c:numCache>
                <c:formatCode>General</c:formatCode>
                <c:ptCount val="0"/>
              </c:numCache>
            </c:numRef>
          </c:val>
        </c:ser>
        <c:ser>
          <c:idx val="1"/>
          <c:order val="1"/>
          <c:tx>
            <c:v>PDLR central</c:v>
          </c:tx>
          <c:cat>
            <c:strRef>
              <c:f>'6. Figure Data'!$H$46:$H$49</c:f>
              <c:strCache>
                <c:ptCount val="0"/>
              </c:strCache>
            </c:strRef>
          </c:cat>
          <c:val>
            <c:numRef>
              <c:f>'6. Figure Data'!$J$46:$J$49</c:f>
              <c:numCache>
                <c:formatCode>General</c:formatCode>
                <c:ptCount val="0"/>
              </c:numCache>
            </c:numRef>
          </c:val>
        </c:ser>
        <c:ser>
          <c:idx val="2"/>
          <c:order val="2"/>
          <c:tx>
            <c:v>PDLR high</c:v>
          </c:tx>
          <c:cat>
            <c:strRef>
              <c:f>'6. Figure Data'!$H$46:$H$49</c:f>
              <c:strCache>
                <c:ptCount val="0"/>
              </c:strCache>
            </c:strRef>
          </c:cat>
          <c:val>
            <c:numRef>
              <c:f>'6. Figure Data'!$K$46:$K$49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c0a3740e6c4794"/>
        </a:graphicData>
      </a:graphic>
    </xdr:graphicFrame>
    <xdr:clientData/>
  </xdr:twoCellAnchor>
  <xdr:twoCellAnchor>
    <xdr:from>
      <xdr:col>8</xdr:col>
      <xdr:colOff>0</xdr:colOff>
      <xdr:row>19</xdr:row>
      <xdr:rowOff>0</xdr:rowOff>
    </xdr:from>
    <xdr:to>
      <xdr:col>18</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43f3fcf78645f8"/>
        </a:graphicData>
      </a:graphic>
    </xdr:graphicFrame>
    <xdr:clientData/>
  </xdr:twoCellAnchor>
  <xdr:twoCellAnchor>
    <xdr:from>
      <xdr:col>18</xdr:col>
      <xdr:colOff>0</xdr:colOff>
      <xdr:row>19</xdr:row>
      <xdr:rowOff>0</xdr:rowOff>
    </xdr:from>
    <xdr:to>
      <xdr:col>28</xdr:col>
      <xdr:colOff>0</xdr:colOff>
      <xdr:row>34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69258c5dc84451"/>
        </a:graphicData>
      </a:graphic>
    </xdr:graphicFrame>
    <xdr:clientData/>
  </xdr:twoCellAnchor>
  <xdr:twoCellAnchor>
    <xdr:from>
      <xdr:col>8</xdr:col>
      <xdr:colOff>0</xdr:colOff>
      <xdr:row>35</xdr:row>
      <xdr:rowOff>0</xdr:rowOff>
    </xdr:from>
    <xdr:to>
      <xdr:col>18</xdr:col>
      <xdr:colOff>0</xdr:colOff>
      <xdr:row>50</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32bf976f4e47c1"/>
        </a:graphicData>
      </a:graphic>
    </xdr:graphicFrame>
    <xdr:clientData/>
  </xdr:twoCellAnchor>
  <xdr:twoCellAnchor>
    <xdr:from>
      <xdr:col>18</xdr:col>
      <xdr:colOff>0</xdr:colOff>
      <xdr:row>35</xdr:row>
      <xdr:rowOff>0</xdr:rowOff>
    </xdr:from>
    <xdr:to>
      <xdr:col>28</xdr:col>
      <xdr:colOff>0</xdr:colOff>
      <xdr:row>50</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7b729133714d23"/>
        </a:graphicData>
      </a:graphic>
    </xdr:graphicFrame>
    <xdr:clientData/>
  </xdr:twoCellAnchor>
  <xdr:twoCellAnchor>
    <xdr:from>
      <xdr:col>8</xdr:col>
      <xdr:colOff>0</xdr:colOff>
      <xdr:row>51</xdr:row>
      <xdr:rowOff>0</xdr:rowOff>
    </xdr:from>
    <xdr:to>
      <xdr:col>18</xdr:col>
      <xdr:colOff>0</xdr:colOff>
      <xdr:row>66</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ea47968439415b"/>
        </a:graphicData>
      </a:graphic>
    </xdr:graphicFrame>
    <xdr:clientData/>
  </xdr:twoCellAnchor>
  <xdr:twoCellAnchor>
    <xdr:from>
      <xdr:col>18</xdr:col>
      <xdr:colOff>0</xdr:colOff>
      <xdr:row>51</xdr:row>
      <xdr:rowOff>0</xdr:rowOff>
    </xdr:from>
    <xdr:to>
      <xdr:col>28</xdr:col>
      <xdr:colOff>0</xdr:colOff>
      <xdr:row>66</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38db35af1d4f31"/>
        </a:graphicData>
      </a:graphic>
    </xdr:graphicFrame>
    <xdr:clientData/>
  </xdr:twoCellAnchor>
</xdr:wsDr>
</file>

<file path=xl/tables/table1.xml><?xml version="1.0" encoding="utf-8"?>
<x:table xmlns:x="http://schemas.openxmlformats.org/spreadsheetml/2006/main" id="1" name="ProvenanceTable" displayName="ProvenanceTable" ref="A19:AE70" headerRowCount="1" totalsRowCount="0" totalsRowShown="0">
  <x:autoFilter ref="A19:AE70"/>
  <x:tableColumns count="31">
    <x:tableColumn id="1" name="site_id"/>
    <x:tableColumn id="2" name="site_name"/>
    <x:tableColumn id="3" name="state"/>
    <x:tableColumn id="4" name="operator"/>
    <x:tableColumn id="5" name="scenario_id"/>
    <x:tableColumn id="6" name="scenario_name"/>
    <x:tableColumn id="7" name="scenario_type"/>
    <x:tableColumn id="8" name="comparison_anchor"/>
    <x:tableColumn id="9" name="calculation_allowed"/>
    <x:tableColumn id="10" name="analysis_unit"/>
    <x:tableColumn id="11" name="operational_status"/>
    <x:tableColumn id="12" name="parameter"/>
    <x:tableColumn id="13" name="central_value"/>
    <x:tableColumn id="14" name="units"/>
    <x:tableColumn id="15" name="source_reported_value"/>
    <x:tableColumn id="16" name="source_reported_units"/>
    <x:tableColumn id="17" name="evidence_class"/>
    <x:tableColumn id="18" name="source"/>
    <x:tableColumn id="19" name="source_year"/>
    <x:tableColumn id="20" name="source_locator"/>
    <x:tableColumn id="21" name="temporal_basis"/>
    <x:tableColumn id="22" name="water_source"/>
    <x:tableColumn id="23" name="geographic_boundary"/>
    <x:tableColumn id="24" name="capacity_type"/>
    <x:tableColumn id="25" name="boundary_match"/>
    <x:tableColumn id="26" name="source_status"/>
    <x:tableColumn id="27" name="low_value"/>
    <x:tableColumn id="28" name="high_value"/>
    <x:tableColumn id="29" name="range_basis"/>
    <x:tableColumn id="30" name="rank_admissibility"/>
    <x:tableColumn id="31"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e4f86a91ef428c" /></Relationships>
</file>

<file path=xl/worksheets/_rels/sheet7.xml.rels>&#65279;<?xml version="1.0" encoding="utf-8"?><Relationships xmlns="http://schemas.openxmlformats.org/package/2006/relationships"><Relationship Type="http://schemas.openxmlformats.org/officeDocument/2006/relationships/drawing" Target="/xl/drawings/drawing1.xml" Id="Rfd1ca55da8a94e99"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20" hidden="0" customWidth="1"/>
  </x:cols>
  <x:sheetData>
    <x:row r="1" ht="25" customHeight="1">
      <x:c r="A1" s="3" t="str">
        <x:v>Reproducibility Workbook — Water Consumption Impact and Peak Delivery Load Ratio</x:v>
      </x:c>
      <x:c r="B1" s="3"/>
      <x:c r="C1" s="3"/>
      <x:c r="D1" s="3"/>
      <x:c r="E1" s="3"/>
      <x:c r="F1" s="3"/>
      <x:c r="G1" s="3"/>
      <x:c r="H1" s="3"/>
      <x:c r="I1" s="3"/>
      <x:c r="J1" s="3"/>
    </x:row>
    <x:row r="2" ht="21" customHeight="1">
      <x:c r="A2" s="6" t="str">
        <x:v>Companion to: When the Cloud Comes to Town: AI Data-Centre Water Demand and Utility Capacity</x:v>
      </x:c>
      <x:c r="B2" s="6"/>
      <x:c r="C2" s="6"/>
      <x:c r="D2" s="6"/>
      <x:c r="E2" s="6"/>
      <x:c r="F2" s="6"/>
      <x:c r="G2" s="6"/>
      <x:c r="H2" s="6"/>
      <x:c r="I2" s="6"/>
      <x:c r="J2" s="6"/>
    </x:row>
    <x:row r="3">
      <x:c r="A3" s="32"/>
      <x:c r="B3" s="32"/>
      <x:c r="C3" s="32"/>
      <x:c r="D3" s="32"/>
      <x:c r="E3" s="32"/>
      <x:c r="F3" s="32"/>
      <x:c r="G3" s="32"/>
      <x:c r="H3" s="32"/>
      <x:c r="I3" s="32"/>
      <x:c r="J3" s="32"/>
    </x:row>
    <x:row r="4" ht="20" customHeight="1">
      <x:c r="A4" s="12" t="str">
        <x:v>1. Purpose</x:v>
      </x:c>
      <x:c r="B4" s="13" t="str">
        <x:v>1. Purpose</x:v>
      </x:c>
      <x:c r="C4" s="13" t="str">
        <x:v>1. Purpose</x:v>
      </x:c>
      <x:c r="D4" s="13" t="str">
        <x:v>1. Purpose</x:v>
      </x:c>
      <x:c r="E4" s="13" t="str">
        <x:v>1. Purpose</x:v>
      </x:c>
      <x:c r="F4" s="13" t="str">
        <x:v>1. Purpose</x:v>
      </x:c>
      <x:c r="G4" s="13" t="str">
        <x:v>1. Purpose</x:v>
      </x:c>
      <x:c r="H4" s="13" t="str">
        <x:v>1. Purpose</x:v>
      </x:c>
      <x:c r="I4" s="13" t="str">
        <x:v>1. Purpose</x:v>
      </x:c>
      <x:c r="J4" s="14" t="str">
        <x:v>1. Purpose</x:v>
      </x:c>
    </x:row>
    <x:row r="5">
      <x:c r="A5" s="33" t="str">
        <x:v>This workbook reproduces the current ten-case WCI and PDLR analysis from the GitHub repository. Yellow cells are editable source or scenario inputs. Formula cells recalculate the primary comparisons, alternative boundaries, community-context measures, deterministic uncertainty envelopes, analytical sensitivities, and synthetic validation tests. The workbook contains no macros or external workbook links.</x:v>
      </x:c>
      <x:c r="B5" s="33"/>
      <x:c r="C5" s="33"/>
      <x:c r="D5" s="33"/>
      <x:c r="E5" s="33"/>
      <x:c r="F5" s="33"/>
      <x:c r="G5" s="33"/>
      <x:c r="H5" s="33"/>
      <x:c r="I5" s="33"/>
      <x:c r="J5" s="33"/>
    </x:row>
    <x:row r="6">
      <x:c r="A6" s="33"/>
      <x:c r="B6" s="33"/>
      <x:c r="C6" s="33"/>
      <x:c r="D6" s="33"/>
      <x:c r="E6" s="33"/>
      <x:c r="F6" s="33"/>
      <x:c r="G6" s="33"/>
      <x:c r="H6" s="33"/>
      <x:c r="I6" s="33"/>
      <x:c r="J6" s="33"/>
    </x:row>
    <x:row r="7">
      <x:c r="A7" s="33"/>
      <x:c r="B7" s="33"/>
      <x:c r="C7" s="33"/>
      <x:c r="D7" s="33"/>
      <x:c r="E7" s="33"/>
      <x:c r="F7" s="33"/>
      <x:c r="G7" s="33"/>
      <x:c r="H7" s="33"/>
      <x:c r="I7" s="33"/>
      <x:c r="J7" s="33"/>
    </x:row>
    <x:row r="8">
      <x:c r="A8" s="32"/>
      <x:c r="B8" s="32"/>
      <x:c r="C8" s="32"/>
      <x:c r="D8" s="32"/>
      <x:c r="E8" s="32"/>
      <x:c r="F8" s="32"/>
      <x:c r="G8" s="32"/>
      <x:c r="H8" s="32"/>
      <x:c r="I8" s="32"/>
      <x:c r="J8" s="32"/>
    </x:row>
    <x:row r="9" ht="20" customHeight="1">
      <x:c r="A9" s="12" t="str">
        <x:v>2. Sheet index</x:v>
      </x:c>
      <x:c r="B9" s="13" t="str">
        <x:v>2. Sheet index</x:v>
      </x:c>
      <x:c r="C9" s="13" t="str">
        <x:v>2. Sheet index</x:v>
      </x:c>
      <x:c r="D9" s="13" t="str">
        <x:v>2. Sheet index</x:v>
      </x:c>
      <x:c r="E9" s="13" t="str">
        <x:v>2. Sheet index</x:v>
      </x:c>
      <x:c r="F9" s="13" t="str">
        <x:v>2. Sheet index</x:v>
      </x:c>
      <x:c r="G9" s="13" t="str">
        <x:v>2. Sheet index</x:v>
      </x:c>
      <x:c r="H9" s="13" t="str">
        <x:v>2. Sheet index</x:v>
      </x:c>
      <x:c r="I9" s="13" t="str">
        <x:v>2. Sheet index</x:v>
      </x:c>
      <x:c r="J9" s="14" t="str">
        <x:v>2. Sheet index</x:v>
      </x:c>
    </x:row>
    <x:row r="10">
      <x:c r="A10" s="21" t="str">
        <x:v>Sheet</x:v>
      </x:c>
      <x:c r="B10" s="21" t="str">
        <x:v>Contents</x:v>
      </x:c>
      <x:c r="C10" s="21"/>
      <x:c r="D10" s="21"/>
      <x:c r="E10" s="21"/>
      <x:c r="F10" s="21"/>
      <x:c r="G10" s="21"/>
      <x:c r="H10" s="21"/>
      <x:c r="I10" s="21"/>
      <x:c r="J10" s="21"/>
    </x:row>
    <x:row r="11">
      <x:c r="A11" s="26" t="str">
        <x:v>0. Overview &amp; Methods</x:v>
      </x:c>
      <x:c r="B11" s="28" t="str">
        <x:v>Purpose, equations, evidence codes, and reproducibility notes.</x:v>
      </x:c>
      <x:c r="C11" s="28"/>
      <x:c r="D11" s="28"/>
      <x:c r="E11" s="28"/>
      <x:c r="F11" s="28"/>
      <x:c r="G11" s="28"/>
      <x:c r="H11" s="28"/>
      <x:c r="I11" s="28"/>
      <x:c r="J11" s="28"/>
    </x:row>
    <x:row r="12">
      <x:c r="A12" s="27" t="str">
        <x:v>1. Inputs &amp; Evidence</x:v>
      </x:c>
      <x:c r="B12" s="29" t="str">
        <x:v>Primary inputs and the full 51-row provenance table. Edit yellow source-input cells only; pale-blue cells are derived.</x:v>
      </x:c>
      <x:c r="C12" s="29"/>
      <x:c r="D12" s="29"/>
      <x:c r="E12" s="29"/>
      <x:c r="F12" s="29"/>
      <x:c r="G12" s="29"/>
      <x:c r="H12" s="29"/>
      <x:c r="I12" s="29"/>
      <x:c r="J12" s="29"/>
    </x:row>
    <x:row r="13">
      <x:c r="A13" s="26" t="str">
        <x:v>2. WCI &amp; PDLR</x:v>
      </x:c>
      <x:c r="B13" s="28" t="str">
        <x:v>Live primary calculations for the ten manuscript anchors, including the WCI = r × PDLR identity check.</x:v>
      </x:c>
      <x:c r="C13" s="28"/>
      <x:c r="D13" s="28"/>
      <x:c r="E13" s="28"/>
      <x:c r="F13" s="28"/>
      <x:c r="G13" s="28"/>
      <x:c r="H13" s="28"/>
      <x:c r="I13" s="28"/>
      <x:c r="J13" s="28"/>
    </x:row>
    <x:row r="14">
      <x:c r="A14" s="27" t="str">
        <x:v>3. Community Context</x:v>
      </x:c>
      <x:c r="B14" s="29" t="str">
        <x:v>Household-equivalent and jurisdiction-share calculations using the distinct comparison bases reported in the manuscript.</x:v>
      </x:c>
      <x:c r="C14" s="29"/>
      <x:c r="D14" s="29"/>
      <x:c r="E14" s="29"/>
      <x:c r="F14" s="29"/>
      <x:c r="G14" s="29"/>
      <x:c r="H14" s="29"/>
      <x:c r="I14" s="29"/>
      <x:c r="J14" s="29"/>
    </x:row>
    <x:row r="15">
      <x:c r="A15" s="26" t="str">
        <x:v>4. Scenarios &amp; Uncertainty</x:v>
      </x:c>
      <x:c r="B15" s="28" t="str">
        <x:v>Fourteen boundary scenarios, the four-case parameter-range uncertainty check, and the Douglas reclaimed-source allocation bound.</x:v>
      </x:c>
      <x:c r="C15" s="28"/>
      <x:c r="D15" s="28"/>
      <x:c r="E15" s="28"/>
      <x:c r="F15" s="28"/>
      <x:c r="G15" s="28"/>
      <x:c r="H15" s="28"/>
      <x:c r="I15" s="28"/>
      <x:c r="J15" s="28"/>
    </x:row>
    <x:row r="16">
      <x:c r="A16" s="27" t="str">
        <x:v>5. Summary</x:v>
      </x:c>
      <x:c r="B16" s="29" t="str">
        <x:v>Compact Table 7-style view of the ten central conditional anchors. Numerical positions are exploratory, not definitive rankings.</x:v>
      </x:c>
      <x:c r="C16" s="29"/>
      <x:c r="D16" s="29"/>
      <x:c r="E16" s="29"/>
      <x:c r="F16" s="29"/>
      <x:c r="G16" s="29"/>
      <x:c r="H16" s="29"/>
      <x:c r="I16" s="29"/>
      <x:c r="J16" s="29"/>
    </x:row>
    <x:row r="17">
      <x:c r="A17" s="26" t="str">
        <x:v>6. Figure Data</x:v>
      </x:c>
      <x:c r="B17" s="28" t="str">
        <x:v>Formula-linked data and charts for Figures 3, 4, and Supplementary Figure S2.</x:v>
      </x:c>
      <x:c r="C17" s="28"/>
      <x:c r="D17" s="28"/>
      <x:c r="E17" s="28"/>
      <x:c r="F17" s="28"/>
      <x:c r="G17" s="28"/>
      <x:c r="H17" s="28"/>
      <x:c r="I17" s="28"/>
      <x:c r="J17" s="28"/>
    </x:row>
    <x:row r="18">
      <x:c r="A18" s="27" t="str">
        <x:v>7. Validation &amp; Sensitivity</x:v>
      </x:c>
      <x:c r="B18" s="29" t="str">
        <x:v>Live workbook checks, 48 algebraic one-at-a-time sensitivity rows, and 23 synthetic boundary/false-data tests.</x:v>
      </x:c>
      <x:c r="C18" s="29"/>
      <x:c r="D18" s="29"/>
      <x:c r="E18" s="29"/>
      <x:c r="F18" s="29"/>
      <x:c r="G18" s="29"/>
      <x:c r="H18" s="29"/>
      <x:c r="I18" s="29"/>
      <x:c r="J18" s="29"/>
    </x:row>
    <x:row r="19">
      <x:c r="A19" s="32"/>
      <x:c r="B19" s="32"/>
      <x:c r="C19" s="32"/>
      <x:c r="D19" s="32"/>
      <x:c r="E19" s="32"/>
      <x:c r="F19" s="32"/>
      <x:c r="G19" s="32"/>
      <x:c r="H19" s="32"/>
      <x:c r="I19" s="32"/>
      <x:c r="J19" s="32"/>
    </x:row>
    <x:row r="20" ht="20" customHeight="1">
      <x:c r="A20" s="12" t="str">
        <x:v>3. Core equations</x:v>
      </x:c>
      <x:c r="B20" s="13" t="str">
        <x:v>3. Core equations</x:v>
      </x:c>
      <x:c r="C20" s="13" t="str">
        <x:v>3. Core equations</x:v>
      </x:c>
      <x:c r="D20" s="13" t="str">
        <x:v>3. Core equations</x:v>
      </x:c>
      <x:c r="E20" s="13" t="str">
        <x:v>3. Core equations</x:v>
      </x:c>
      <x:c r="F20" s="13" t="str">
        <x:v>3. Core equations</x:v>
      </x:c>
      <x:c r="G20" s="13" t="str">
        <x:v>3. Core equations</x:v>
      </x:c>
      <x:c r="H20" s="13" t="str">
        <x:v>3. Core equations</x:v>
      </x:c>
      <x:c r="I20" s="13" t="str">
        <x:v>3. Core equations</x:v>
      </x:c>
      <x:c r="J20" s="14" t="str">
        <x:v>3. Core equations</x:v>
      </x:c>
    </x:row>
    <x:row r="21">
      <x:c r="A21" s="26" t="str">
        <x:v>Average-flow branch</x:v>
      </x:c>
      <x:c r="B21" s="24" t="str">
        <x:v>W_avg = annual withdrawal / reporting days; W_peak = PF × W_avg</x:v>
      </x:c>
      <x:c r="C21" s="24"/>
      <x:c r="D21" s="24"/>
      <x:c r="E21" s="24"/>
      <x:c r="F21" s="24"/>
      <x:c r="G21" s="24"/>
      <x:c r="H21" s="24"/>
      <x:c r="I21" s="24"/>
      <x:c r="J21" s="24"/>
    </x:row>
    <x:row r="22">
      <x:c r="A22" s="27" t="str">
        <x:v>Direct-peak branch</x:v>
      </x:c>
      <x:c r="B22" s="25" t="str">
        <x:v>W_peak is used as reported; no additional PF is applied</x:v>
      </x:c>
      <x:c r="C22" s="25"/>
      <x:c r="D22" s="25"/>
      <x:c r="E22" s="25"/>
      <x:c r="F22" s="25"/>
      <x:c r="G22" s="25"/>
      <x:c r="H22" s="25"/>
      <x:c r="I22" s="25"/>
      <x:c r="J22" s="25"/>
    </x:row>
    <x:row r="23">
      <x:c r="A23" s="26" t="str">
        <x:v>Consumptive flow</x:v>
      </x:c>
      <x:c r="B23" s="24" t="str">
        <x:v>C_avg = r × W_avg; C_peak = r × W_peak</x:v>
      </x:c>
      <x:c r="C23" s="24"/>
      <x:c r="D23" s="24"/>
      <x:c r="E23" s="24"/>
      <x:c r="F23" s="24"/>
      <x:c r="G23" s="24"/>
      <x:c r="H23" s="24"/>
      <x:c r="I23" s="24"/>
      <x:c r="J23" s="24"/>
    </x:row>
    <x:row r="24">
      <x:c r="A24" s="27" t="str">
        <x:v>Water Consumption Impact</x:v>
      </x:c>
      <x:c r="B24" s="25" t="str">
        <x:v>WCI = C_peak / K</x:v>
      </x:c>
      <x:c r="C24" s="25"/>
      <x:c r="D24" s="25"/>
      <x:c r="E24" s="25"/>
      <x:c r="F24" s="25"/>
      <x:c r="G24" s="25"/>
      <x:c r="H24" s="25"/>
      <x:c r="I24" s="25"/>
      <x:c r="J24" s="25"/>
    </x:row>
    <x:row r="25">
      <x:c r="A25" s="26" t="str">
        <x:v>Peak Delivery Load Ratio</x:v>
      </x:c>
      <x:c r="B25" s="24" t="str">
        <x:v>PDLR = W_peak / K</x:v>
      </x:c>
      <x:c r="C25" s="24"/>
      <x:c r="D25" s="24"/>
      <x:c r="E25" s="24"/>
      <x:c r="F25" s="24"/>
      <x:c r="G25" s="24"/>
      <x:c r="H25" s="24"/>
      <x:c r="I25" s="24"/>
      <x:c r="J25" s="24"/>
    </x:row>
    <x:row r="26">
      <x:c r="A26" s="27" t="str">
        <x:v>Identity</x:v>
      </x:c>
      <x:c r="B26" s="25" t="str">
        <x:v>WCI = r × PDLR under the shared-PF or constant-r condition</x:v>
      </x:c>
      <x:c r="C26" s="25"/>
      <x:c r="D26" s="25"/>
      <x:c r="E26" s="25"/>
      <x:c r="F26" s="25"/>
      <x:c r="G26" s="25"/>
      <x:c r="H26" s="25"/>
      <x:c r="I26" s="25"/>
      <x:c r="J26" s="25"/>
    </x:row>
    <x:row r="27">
      <x:c r="A27" s="26" t="str">
        <x:v>Household equivalent</x:v>
      </x:c>
      <x:c r="B27" s="24" t="str">
        <x:v>HH_equiv = C_avg(ML/d) × reporting days / 0.4146 ML/household/year</x:v>
      </x:c>
      <x:c r="C27" s="24"/>
      <x:c r="D27" s="24"/>
      <x:c r="E27" s="24"/>
      <x:c r="F27" s="24"/>
      <x:c r="G27" s="24"/>
      <x:c r="H27" s="24"/>
      <x:c r="I27" s="24"/>
      <x:c r="J27" s="24"/>
    </x:row>
    <x:row r="28">
      <x:c r="A28" s="27" t="str">
        <x:v>Community share</x:v>
      </x:c>
      <x:c r="B28" s="25" t="str">
        <x:v>Share = C_avg(ML/d) / [population × 0.000310403766 ML/person/day]</x:v>
      </x:c>
      <x:c r="C28" s="25"/>
      <x:c r="D28" s="25"/>
      <x:c r="E28" s="25"/>
      <x:c r="F28" s="25"/>
      <x:c r="G28" s="25"/>
      <x:c r="H28" s="25"/>
      <x:c r="I28" s="25"/>
      <x:c r="J28" s="25"/>
    </x:row>
    <x:row r="29">
      <x:c r="A29" s="26" t="str">
        <x:v>PF uncertainty branch</x:v>
      </x:c>
      <x:c r="B29" s="24" t="str">
        <x:v>WCI(PF) = W_avg × r × PF / K; PDLR(PF) = W_avg × PF / K</x:v>
      </x:c>
      <x:c r="C29" s="24"/>
      <x:c r="D29" s="24"/>
      <x:c r="E29" s="24"/>
      <x:c r="F29" s="24"/>
      <x:c r="G29" s="24"/>
      <x:c r="H29" s="24"/>
      <x:c r="I29" s="24"/>
      <x:c r="J29" s="24"/>
    </x:row>
    <x:row r="30">
      <x:c r="A30" s="27" t="str">
        <x:v>r uncertainty branch</x:v>
      </x:c>
      <x:c r="B30" s="25" t="str">
        <x:v>WCI(r) = W_peak × r / K; PDLR remains W_peak / K</x:v>
      </x:c>
      <x:c r="C30" s="25"/>
      <x:c r="D30" s="25"/>
      <x:c r="E30" s="25"/>
      <x:c r="F30" s="25"/>
      <x:c r="G30" s="25"/>
      <x:c r="H30" s="25"/>
      <x:c r="I30" s="25"/>
      <x:c r="J30" s="25"/>
    </x:row>
    <x:row r="31">
      <x:c r="A31" s="32"/>
      <x:c r="B31" s="32"/>
      <x:c r="C31" s="32"/>
      <x:c r="D31" s="32"/>
      <x:c r="E31" s="32"/>
      <x:c r="F31" s="32"/>
      <x:c r="G31" s="32"/>
      <x:c r="H31" s="32"/>
      <x:c r="I31" s="32"/>
      <x:c r="J31" s="32"/>
    </x:row>
    <x:row r="32" ht="20" customHeight="1">
      <x:c r="A32" s="12" t="str">
        <x:v>4. Evidence and boundary codes</x:v>
      </x:c>
      <x:c r="B32" s="13" t="str">
        <x:v>4. Evidence and boundary codes</x:v>
      </x:c>
      <x:c r="C32" s="13" t="str">
        <x:v>4. Evidence and boundary codes</x:v>
      </x:c>
      <x:c r="D32" s="13" t="str">
        <x:v>4. Evidence and boundary codes</x:v>
      </x:c>
      <x:c r="E32" s="13" t="str">
        <x:v>4. Evidence and boundary codes</x:v>
      </x:c>
      <x:c r="F32" s="13" t="str">
        <x:v>4. Evidence and boundary codes</x:v>
      </x:c>
      <x:c r="G32" s="13" t="str">
        <x:v>4. Evidence and boundary codes</x:v>
      </x:c>
      <x:c r="H32" s="13" t="str">
        <x:v>4. Evidence and boundary codes</x:v>
      </x:c>
      <x:c r="I32" s="13" t="str">
        <x:v>4. Evidence and boundary codes</x:v>
      </x:c>
      <x:c r="J32" s="14" t="str">
        <x:v>4. Evidence and boundary codes</x:v>
      </x:c>
    </x:row>
    <x:row r="33">
      <x:c r="A33" s="21" t="str">
        <x:v>Code</x:v>
      </x:c>
      <x:c r="B33" s="21" t="str">
        <x:v>Meaning</x:v>
      </x:c>
      <x:c r="C33" s="21"/>
      <x:c r="D33" s="21"/>
      <x:c r="E33" s="21"/>
      <x:c r="F33" s="21"/>
      <x:c r="G33" s="21"/>
      <x:c r="H33" s="21"/>
      <x:c r="I33" s="21"/>
      <x:c r="J33" s="21"/>
    </x:row>
    <x:row r="34">
      <x:c r="A34" s="24" t="str">
        <x:v>M</x:v>
      </x:c>
      <x:c r="B34" s="24" t="str">
        <x:v>Measured or directly reported site/system quantity</x:v>
      </x:c>
      <x:c r="C34" s="24"/>
      <x:c r="D34" s="24"/>
      <x:c r="E34" s="24"/>
      <x:c r="F34" s="24"/>
      <x:c r="G34" s="24"/>
      <x:c r="H34" s="24"/>
      <x:c r="I34" s="24"/>
      <x:c r="J34" s="24"/>
    </x:row>
    <x:row r="35">
      <x:c r="A35" s="25" t="str">
        <x:v>R</x:v>
      </x:c>
      <x:c r="B35" s="25" t="str">
        <x:v>Reported quantity converted or reconstructed from documented values</x:v>
      </x:c>
      <x:c r="C35" s="25"/>
      <x:c r="D35" s="25"/>
      <x:c r="E35" s="25"/>
      <x:c r="F35" s="25"/>
      <x:c r="G35" s="25"/>
      <x:c r="H35" s="25"/>
      <x:c r="I35" s="25"/>
      <x:c r="J35" s="25"/>
    </x:row>
    <x:row r="36">
      <x:c r="A36" s="24" t="str">
        <x:v>T</x:v>
      </x:c>
      <x:c r="B36" s="24" t="str">
        <x:v>Transferred parameter or within-campus proxy</x:v>
      </x:c>
      <x:c r="C36" s="24"/>
      <x:c r="D36" s="24"/>
      <x:c r="E36" s="24"/>
      <x:c r="F36" s="24"/>
      <x:c r="G36" s="24"/>
      <x:c r="H36" s="24"/>
      <x:c r="I36" s="24"/>
      <x:c r="J36" s="24"/>
    </x:row>
    <x:row r="37">
      <x:c r="A37" s="25" t="str">
        <x:v>A</x:v>
      </x:c>
      <x:c r="B37" s="25" t="str">
        <x:v>Author-selected scenario assumption</x:v>
      </x:c>
      <x:c r="C37" s="25"/>
      <x:c r="D37" s="25"/>
      <x:c r="E37" s="25"/>
      <x:c r="F37" s="25"/>
      <x:c r="G37" s="25"/>
      <x:c r="H37" s="25"/>
      <x:c r="I37" s="25"/>
      <x:c r="J37" s="25"/>
    </x:row>
    <x:row r="38">
      <x:c r="A38" s="24" t="str">
        <x:v>P</x:v>
      </x:c>
      <x:c r="B38" s="24" t="str">
        <x:v>Planned, permitted, contracted, or service-maximum quantity</x:v>
      </x:c>
      <x:c r="C38" s="24"/>
      <x:c r="D38" s="24"/>
      <x:c r="E38" s="24"/>
      <x:c r="F38" s="24"/>
      <x:c r="G38" s="24"/>
      <x:c r="H38" s="24"/>
      <x:c r="I38" s="24"/>
      <x:c r="J38" s="24"/>
    </x:row>
    <x:row r="39">
      <x:c r="A39" s="25" t="str">
        <x:v>U</x:v>
      </x:c>
      <x:c r="B39" s="25" t="str">
        <x:v>Unresolved input or unmatched boundary</x:v>
      </x:c>
      <x:c r="C39" s="25"/>
      <x:c r="D39" s="25"/>
      <x:c r="E39" s="25"/>
      <x:c r="F39" s="25"/>
      <x:c r="G39" s="25"/>
      <x:c r="H39" s="25"/>
      <x:c r="I39" s="25"/>
      <x:c r="J39" s="25"/>
    </x:row>
    <x:row r="40">
      <x:c r="A40" s="32"/>
      <x:c r="B40" s="32"/>
      <x:c r="C40" s="32"/>
      <x:c r="D40" s="32"/>
      <x:c r="E40" s="32"/>
      <x:c r="F40" s="32"/>
      <x:c r="G40" s="32"/>
      <x:c r="H40" s="32"/>
      <x:c r="I40" s="32"/>
      <x:c r="J40" s="32"/>
    </x:row>
    <x:row r="41" ht="20" customHeight="1">
      <x:c r="A41" s="12" t="str">
        <x:v>5. Reproducibility notes</x:v>
      </x:c>
      <x:c r="B41" s="13" t="str">
        <x:v>5. Reproducibility notes</x:v>
      </x:c>
      <x:c r="C41" s="13" t="str">
        <x:v>5. Reproducibility notes</x:v>
      </x:c>
      <x:c r="D41" s="13" t="str">
        <x:v>5. Reproducibility notes</x:v>
      </x:c>
      <x:c r="E41" s="13" t="str">
        <x:v>5. Reproducibility notes</x:v>
      </x:c>
      <x:c r="F41" s="13" t="str">
        <x:v>5. Reproducibility notes</x:v>
      </x:c>
      <x:c r="G41" s="13" t="str">
        <x:v>5. Reproducibility notes</x:v>
      </x:c>
      <x:c r="H41" s="13" t="str">
        <x:v>5. Reproducibility notes</x:v>
      </x:c>
      <x:c r="I41" s="13" t="str">
        <x:v>5. Reproducibility notes</x:v>
      </x:c>
      <x:c r="J41" s="14" t="str">
        <x:v>5. Reproducibility notes</x:v>
      </x:c>
    </x:row>
    <x:row r="42">
      <x:c r="A42" s="26" t="str">
        <x:v>Units</x:v>
      </x:c>
      <x:c r="B42" s="28" t="str">
        <x:v>Primary water-flow inputs use MGD. The exact conversion is 1 MGD = 3.785411784 ML/day.</x:v>
      </x:c>
      <x:c r="C42" s="28"/>
      <x:c r="D42" s="28"/>
      <x:c r="E42" s="28"/>
      <x:c r="F42" s="28"/>
      <x:c r="G42" s="28"/>
      <x:c r="H42" s="28"/>
      <x:c r="I42" s="28"/>
      <x:c r="J42" s="28"/>
    </x:row>
    <x:row r="43">
      <x:c r="A43" s="26" t="str">
        <x:v>FY2024 conversion</x:v>
      </x:c>
      <x:c r="B43" s="28" t="str">
        <x:v>Annual Google FY2024 quantities are divided by 366 because 2024 was a leap year.</x:v>
      </x:c>
      <x:c r="C43" s="28"/>
      <x:c r="D43" s="28"/>
      <x:c r="E43" s="28"/>
      <x:c r="F43" s="28"/>
      <x:c r="G43" s="28"/>
      <x:c r="H43" s="28"/>
      <x:c r="I43" s="28"/>
      <x:c r="J43" s="28"/>
    </x:row>
    <x:row r="44">
      <x:c r="A44" s="26" t="str">
        <x:v>Calculation branches</x:v>
      </x:c>
      <x:c r="B44" s="28" t="str">
        <x:v>A reported peak is never peaked again. Average-flow rows require a PF; direct-peak rows leave PF blank.</x:v>
      </x:c>
      <x:c r="C44" s="28"/>
      <x:c r="D44" s="28"/>
      <x:c r="E44" s="28"/>
      <x:c r="F44" s="28"/>
      <x:c r="G44" s="28"/>
      <x:c r="H44" s="28"/>
      <x:c r="I44" s="28"/>
      <x:c r="J44" s="28"/>
    </x:row>
    <x:row r="45">
      <x:c r="A45" s="26" t="str">
        <x:v>Capacity boundary</x:v>
      </x:c>
      <x:c r="B45" s="28" t="str">
        <x:v>K is the declared comparison reference for each scenario. It is not automatically equivalent to firm available headroom.</x:v>
      </x:c>
      <x:c r="C45" s="28"/>
      <x:c r="D45" s="28"/>
      <x:c r="E45" s="28"/>
      <x:c r="F45" s="28"/>
      <x:c r="G45" s="28"/>
      <x:c r="H45" s="28"/>
      <x:c r="I45" s="28"/>
      <x:c r="J45" s="28"/>
    </x:row>
    <x:row r="46">
      <x:c r="A46" s="26" t="str">
        <x:v>Numerical order</x:v>
      </x:c>
      <x:c r="B46" s="28" t="str">
        <x:v>The workbook reports exploratory numerical positions only. Heterogeneous boundaries and evidence prevent a definitive cross-site risk ranking.</x:v>
      </x:c>
      <x:c r="C46" s="28"/>
      <x:c r="D46" s="28"/>
      <x:c r="E46" s="28"/>
      <x:c r="F46" s="28"/>
      <x:c r="G46" s="28"/>
      <x:c r="H46" s="28"/>
      <x:c r="I46" s="28"/>
      <x:c r="J46" s="28"/>
    </x:row>
    <x:row r="47">
      <x:c r="A47" s="26" t="str">
        <x:v>Uncertainty</x:v>
      </x:c>
      <x:c r="B47" s="28" t="str">
        <x:v>The four-case ranges are deterministic parameter checks, not empirical confidence intervals.</x:v>
      </x:c>
      <x:c r="C47" s="28"/>
      <x:c r="D47" s="28"/>
      <x:c r="E47" s="28"/>
      <x:c r="F47" s="28"/>
      <x:c r="G47" s="28"/>
      <x:c r="H47" s="28"/>
      <x:c r="I47" s="28"/>
      <x:c r="J47" s="28"/>
    </x:row>
    <x:row r="48" ht="18" customHeight="1">
      <x:c r="A48" s="32"/>
      <x:c r="B48" s="32"/>
      <x:c r="C48" s="32"/>
      <x:c r="D48" s="32"/>
      <x:c r="E48" s="32"/>
      <x:c r="F48" s="32"/>
      <x:c r="G48" s="32"/>
      <x:c r="H48" s="32"/>
      <x:c r="I48" s="32"/>
      <x:c r="J48" s="32"/>
    </x:row>
    <x:row r="49">
      <x:c r="A49" s="34" t="str">
        <x:v>Workbook version</x:v>
      </x:c>
      <x:c r="B49" s="32" t="str">
        <x:v>v7.0 — current repository model</x:v>
      </x:c>
      <x:c r="C49" s="32"/>
      <x:c r="D49" s="32"/>
      <x:c r="E49" s="32"/>
      <x:c r="F49" s="32"/>
      <x:c r="G49" s="32"/>
      <x:c r="H49" s="32"/>
      <x:c r="I49" s="32"/>
      <x:c r="J49" s="32"/>
    </x:row>
    <x:row r="50">
      <x:c r="A50" s="34" t="str">
        <x:v>Repository</x:v>
      </x:c>
      <x:c r="B50" s="32" t="str">
        <x:v>AI-Data-Center-and-Water-Consumption-Impact</x:v>
      </x:c>
      <x:c r="C50" s="32"/>
      <x:c r="D50" s="32"/>
      <x:c r="E50" s="32"/>
      <x:c r="F50" s="32"/>
      <x:c r="G50" s="32"/>
      <x:c r="H50" s="32"/>
      <x:c r="I50" s="32"/>
      <x:c r="J50" s="32"/>
    </x:row>
    <x:row r="51">
      <x:c r="A51" s="34" t="str">
        <x:v>Prepared</x:v>
      </x:c>
      <x:c r="B51" s="32" t="str">
        <x:v>15 October 2026</x:v>
      </x:c>
      <x:c r="C51" s="32"/>
      <x:c r="D51" s="32"/>
      <x:c r="E51" s="32"/>
      <x:c r="F51" s="32"/>
      <x:c r="G51" s="32"/>
      <x:c r="H51" s="32"/>
      <x:c r="I51" s="32"/>
      <x:c r="J51" s="32"/>
    </x:row>
    <x:row r="52">
      <x:c r="A52"/>
      <x:c r="B52"/>
      <x:c r="C52"/>
      <x:c r="D52"/>
      <x:c r="E52"/>
      <x:c r="F52"/>
      <x:c r="G52"/>
      <x:c r="H52"/>
      <x:c r="I52"/>
      <x:c r="J52"/>
    </x:row>
  </x:sheetData>
  <x:mergeCells>
    <x:mergeCell ref="A1:J1"/>
    <x:mergeCell ref="A2:J2"/>
    <x:mergeCell ref="A4:J4"/>
    <x:mergeCell ref="A5:J7"/>
    <x:mergeCell ref="A9:J9"/>
    <x:mergeCell ref="B10:J10"/>
    <x:mergeCell ref="B11:J11"/>
    <x:mergeCell ref="B12:J12"/>
    <x:mergeCell ref="B13:J13"/>
    <x:mergeCell ref="B14:J14"/>
    <x:mergeCell ref="B15:J15"/>
    <x:mergeCell ref="B16:J16"/>
    <x:mergeCell ref="B17:J17"/>
    <x:mergeCell ref="B18:J18"/>
    <x:mergeCell ref="A20:J20"/>
    <x:mergeCell ref="B21:J21"/>
    <x:mergeCell ref="B22:J22"/>
    <x:mergeCell ref="B23:J23"/>
    <x:mergeCell ref="B24:J24"/>
    <x:mergeCell ref="B25:J25"/>
    <x:mergeCell ref="B26:J26"/>
    <x:mergeCell ref="B27:J27"/>
    <x:mergeCell ref="B28:J28"/>
    <x:mergeCell ref="B29:J29"/>
    <x:mergeCell ref="B30:J30"/>
    <x:mergeCell ref="A32:J32"/>
    <x:mergeCell ref="B33:J33"/>
    <x:mergeCell ref="B34:J34"/>
    <x:mergeCell ref="B35:J35"/>
    <x:mergeCell ref="B36:J36"/>
    <x:mergeCell ref="B37:J37"/>
    <x:mergeCell ref="B38:J38"/>
    <x:mergeCell ref="B39:J39"/>
    <x:mergeCell ref="A41:J41"/>
    <x:mergeCell ref="B42:J42"/>
    <x:mergeCell ref="B43:J43"/>
    <x:mergeCell ref="B44:J44"/>
    <x:mergeCell ref="B45:J45"/>
    <x:mergeCell ref="B46:J46"/>
    <x:mergeCell ref="B47:J47"/>
    <x:mergeCell ref="B48:J48"/>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20" hidden="0" customWidth="1"/>
    <x:col min="3" max="3" width="8" hidden="0" customWidth="1"/>
    <x:col min="4" max="4" width="12" hidden="0" customWidth="1"/>
    <x:col min="5" max="5" width="40" hidden="0" customWidth="1"/>
    <x:col min="6" max="6" width="48" hidden="0" customWidth="1"/>
    <x:col min="7" max="7" width="34" hidden="0" customWidth="1"/>
    <x:col min="8" max="8" width="13" hidden="0" customWidth="1"/>
    <x:col min="9" max="9" width="13" hidden="0" customWidth="1"/>
    <x:col min="10" max="10" width="22" hidden="0" customWidth="1"/>
    <x:col min="11" max="11" width="24" hidden="0" customWidth="1"/>
    <x:col min="12" max="12" width="14" hidden="0" customWidth="1"/>
    <x:col min="13" max="13" width="16" hidden="0" customWidth="1"/>
    <x:col min="14" max="14" width="13" hidden="0" customWidth="1"/>
    <x:col min="15" max="15" width="19" hidden="0" customWidth="1"/>
    <x:col min="16" max="16" width="20" hidden="0" customWidth="1"/>
    <x:col min="17" max="17" width="12" hidden="0" customWidth="1"/>
    <x:col min="18" max="18" width="40" hidden="0" customWidth="1"/>
    <x:col min="19" max="19" width="11" hidden="0" customWidth="1"/>
    <x:col min="20" max="20" width="40" hidden="0" customWidth="1"/>
    <x:col min="21" max="21" width="34" hidden="0" customWidth="1"/>
    <x:col min="22" max="22" width="24" hidden="0" customWidth="1"/>
    <x:col min="23" max="23" width="28" hidden="0" customWidth="1"/>
    <x:col min="24" max="24" width="30" hidden="0" customWidth="1"/>
    <x:col min="25" max="25" width="15" hidden="0" customWidth="1"/>
    <x:col min="26" max="26" width="22" hidden="0" customWidth="1"/>
    <x:col min="27" max="27" width="12" hidden="0" customWidth="1"/>
    <x:col min="28" max="28" width="12" hidden="0" customWidth="1"/>
    <x:col min="29" max="29" width="28" hidden="0" customWidth="1"/>
    <x:col min="30" max="30" width="28" hidden="0" customWidth="1"/>
    <x:col min="31" max="31" width="48" hidden="0" customWidth="1"/>
  </x:cols>
  <x:sheetData>
    <x:row r="1" ht="25" customHeight="1">
      <x:c r="A1" s="3" t="str">
        <x:v>Site Inputs and Evidence</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row>
    <x:row r="2" ht="21" customHeight="1">
      <x:c r="A2" s="6" t="str">
        <x:v>Primary scenarios above; full machine-readable provenance below. Edit yellow source-input cells to rerun the workbook; pale-blue cells are derived.</x:v>
      </x:c>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row>
    <x:row r="3">
      <x:c r="A3" s="32"/>
      <x:c r="B3" s="32"/>
      <x:c r="C3" s="32"/>
      <x:c r="D3" s="32"/>
      <x:c r="E3" s="32"/>
      <x:c r="F3" s="32"/>
      <x:c r="G3" s="32"/>
      <x:c r="H3" s="32"/>
      <x:c r="I3" s="32"/>
      <x:c r="J3" s="32"/>
      <x:c r="K3" s="32"/>
      <x:c r="L3" s="32"/>
      <x:c r="M3" s="32"/>
      <x:c r="N3" s="32"/>
      <x:c r="O3" s="32"/>
      <x:c r="P3" s="32"/>
      <x:c r="Q3" s="32"/>
      <x:c r="R3" s="32"/>
      <x:c r="S3" s="32"/>
      <x:c r="T3" s="32"/>
      <x:c r="U3" s="32"/>
      <x:c r="V3" s="32"/>
      <x:c r="W3" s="32"/>
      <x:c r="X3" s="32"/>
      <x:c r="Y3" s="32"/>
      <x:c r="Z3" s="32"/>
      <x:c r="AA3" s="32"/>
      <x:c r="AB3" s="32"/>
      <x:c r="AC3" s="32"/>
      <x:c r="AD3" s="32"/>
      <x:c r="AE3" s="32"/>
    </x:row>
    <x:row r="4">
      <x:c r="A4" s="21" t="str">
        <x:v>Site</x:v>
      </x:c>
      <x:c r="B4" s="21" t="str">
        <x:v>State</x:v>
      </x:c>
      <x:c r="C4" s="21" t="str">
        <x:v>Operator</x:v>
      </x:c>
      <x:c r="D4" s="21" t="str">
        <x:v>Scenario ID</x:v>
      </x:c>
      <x:c r="E4" s="21" t="str">
        <x:v>Branch</x:v>
      </x:c>
      <x:c r="F4" s="21" t="str">
        <x:v>W_avg (MGD)</x:v>
      </x:c>
      <x:c r="G4" s="21" t="str">
        <x:v>C_avg (MGD)</x:v>
      </x:c>
      <x:c r="H4" s="21" t="str">
        <x:v>Direct W_peak input (MGD)</x:v>
      </x:c>
      <x:c r="I4" s="21" t="str">
        <x:v>r used</x:v>
      </x:c>
      <x:c r="J4" s="21" t="str">
        <x:v>PF</x:v>
      </x:c>
      <x:c r="K4" s="21" t="str">
        <x:v>K (MGD)</x:v>
      </x:c>
      <x:c r="L4" s="21" t="str">
        <x:v>Calculated W_peak (MGD)</x:v>
      </x:c>
      <x:c r="M4" s="21" t="str">
        <x:v>Calculated C_peak (MGD)</x:v>
      </x:c>
      <x:c r="N4" s="21" t="str">
        <x:v>WCI</x:v>
      </x:c>
      <x:c r="O4" s="21" t="str">
        <x:v>PDLR</x:v>
      </x:c>
      <x:c r="P4" s="21" t="str">
        <x:v>Identity residual</x:v>
      </x:c>
      <x:c r="Q4" s="21" t="str">
        <x:v>Evidence codes</x:v>
      </x:c>
      <x:c r="R4" s="21" t="str">
        <x:v>Boundary</x:v>
      </x:c>
      <x:c r="S4" s="21" t="str">
        <x:v>Rank status</x:v>
      </x:c>
      <x:c r="T4" s="21" t="str">
        <x:v>Source summary</x:v>
      </x:c>
      <x:c r="U4" s="32"/>
      <x:c r="V4" s="32"/>
      <x:c r="W4" s="32"/>
      <x:c r="X4" s="32"/>
      <x:c r="Y4" s="32"/>
      <x:c r="Z4" s="32"/>
      <x:c r="AA4" s="32"/>
      <x:c r="AB4" s="32"/>
      <x:c r="AC4" s="32"/>
      <x:c r="AD4" s="32"/>
      <x:c r="AE4" s="32"/>
    </x:row>
    <x:row r="5" ht="42" customHeight="1">
      <x:c r="A5" s="24" t="str">
        <x:v>Lebanon</x:v>
      </x:c>
      <x:c r="B5" s="24" t="str">
        <x:v>IN</x:v>
      </x:c>
      <x:c r="C5" s="24" t="str">
        <x:v>Meta</x:v>
      </x:c>
      <x:c r="D5" s="28" t="str">
        <x:v>lebanon_tier3_existing_system_counterfactual</x:v>
      </x:c>
      <x:c r="E5" s="28" t="str">
        <x:v>direct_peak</x:v>
      </x:c>
      <x:c r="F5" s="35" t="str">
        <x:f>""</x:f>
      </x:c>
      <x:c r="G5" s="35" t="str">
        <x:f>""</x:f>
      </x:c>
      <x:c r="H5" s="35" t="n">
        <x:f>IF('1. Inputs &amp; Evidence'!$M$20="","",'1. Inputs &amp; Evidence'!$M$20)</x:f>
        <x:v>8</x:v>
      </x:c>
      <x:c r="I5" s="35" t="n">
        <x:f>IF('1. Inputs &amp; Evidence'!$M$21="","",'1. Inputs &amp; Evidence'!$M$21)</x:f>
        <x:v>0.77</x:v>
      </x:c>
      <x:c r="J5" s="35" t="str">
        <x:f>""</x:f>
      </x:c>
      <x:c r="K5" s="35" t="n">
        <x:f>IF('1. Inputs &amp; Evidence'!$M$22="","",'1. Inputs &amp; Evidence'!$M$22)</x:f>
        <x:v>4.6</x:v>
      </x:c>
      <x:c r="L5" s="35" t="n">
        <x:f>IF(E5="direct_peak",IF(H5="","",H5),IF(OR(F5="",J5=""),"",F5*J5))</x:f>
        <x:v>8</x:v>
      </x:c>
      <x:c r="M5" s="35" t="n">
        <x:f>IF(OR(L5="",I5=""),"",L5*I5)</x:f>
        <x:v>6.16</x:v>
      </x:c>
      <x:c r="N5" s="37" t="n">
        <x:f>IF(OR(K5="",K5&lt;=0,M5=""),"",M5/K5)</x:f>
        <x:v>1.3391304347826087</x:v>
      </x:c>
      <x:c r="O5" s="37" t="n">
        <x:f>IF(OR(K5="",K5&lt;=0,L5=""),"",L5/K5)</x:f>
        <x:v>1.7391304347826089</x:v>
      </x:c>
      <x:c r="P5" s="39" t="n">
        <x:f>IF(OR(N5="",I5="",O5=""),"",N5-I5*O5)</x:f>
        <x:v>-2.220446049250313e-16</x:v>
      </x:c>
      <x:c r="Q5" s="28" t="str">
        <x:v>W_peak:P; r_peak:T; K:M</x:v>
      </x:c>
      <x:c r="R5" s="28" t="str">
        <x:v>conditional</x:v>
      </x:c>
      <x:c r="S5" s="28" t="str">
        <x:v>scenario_only</x:v>
      </x:c>
      <x:c r="T5" s="28" t="str">
        <x:v>Project Domino Water and Wastewater Agreement (2025; Exhibit B, Tier III) | Han et al., Small Bottle, Big Pipe (2026; Appendix A.5) | Project Domino Water and Wastewater Agreement (2025; existing Lebanon permitted intake and treatment capability)</x:v>
      </x:c>
      <x:c r="U5" s="32"/>
      <x:c r="V5" s="32"/>
      <x:c r="W5" s="32"/>
      <x:c r="X5" s="32"/>
      <x:c r="Y5" s="32"/>
      <x:c r="Z5" s="32"/>
      <x:c r="AA5" s="32"/>
      <x:c r="AB5" s="32"/>
      <x:c r="AC5" s="32"/>
      <x:c r="AD5" s="32"/>
      <x:c r="AE5" s="32"/>
    </x:row>
    <x:row r="6" ht="42" customHeight="1">
      <x:c r="A6" s="25" t="str">
        <x:v>Council Bluffs</x:v>
      </x:c>
      <x:c r="B6" s="25" t="str">
        <x:v>IA</x:v>
      </x:c>
      <x:c r="C6" s="25" t="str">
        <x:v>Google</x:v>
      </x:c>
      <x:c r="D6" s="29" t="str">
        <x:v>council_bluffs_fy2024_combined_nominal_k</x:v>
      </x:c>
      <x:c r="E6" s="29" t="str">
        <x:v>average_flow</x:v>
      </x:c>
      <x:c r="F6" s="36" t="n">
        <x:f>IF('1. Inputs &amp; Evidence'!$M$26="","",'1. Inputs &amp; Evidence'!$M$26)</x:f>
        <x:v>3.85327868852459</x:v>
      </x:c>
      <x:c r="G6" s="36" t="n">
        <x:f>IF(OR(F6="",I6=""),"",F6*I6)</x:f>
        <x:v>2.7601092896174864</x:v>
      </x:c>
      <x:c r="H6" s="36" t="str">
        <x:f>""</x:f>
      </x:c>
      <x:c r="I6" s="36" t="n">
        <x:f>IF(OR('1. Inputs &amp; Evidence'!$M$27="",F6="",F6=0),"",'1. Inputs &amp; Evidence'!$M$27/F6)</x:f>
        <x:v>0.716301496135574</x:v>
      </x:c>
      <x:c r="J6" s="36" t="n">
        <x:f>IF('1. Inputs &amp; Evidence'!$M$28="","",'1. Inputs &amp; Evidence'!$M$28)</x:f>
        <x:v>6.5</x:v>
      </x:c>
      <x:c r="K6" s="36" t="n">
        <x:f>IF('1. Inputs &amp; Evidence'!$M$29="","",'1. Inputs &amp; Evidence'!$M$29)</x:f>
        <x:v>30</x:v>
      </x:c>
      <x:c r="L6" s="36" t="n">
        <x:f>IF(E6="direct_peak",IF(H6="","",H6),IF(OR(F6="",J6=""),"",F6*J6))</x:f>
        <x:v>25.046311475409837</x:v>
      </x:c>
      <x:c r="M6" s="36" t="n">
        <x:f>IF(OR(L6="",I6=""),"",L6*I6)</x:f>
        <x:v>17.940710382513664</x:v>
      </x:c>
      <x:c r="N6" s="38" t="n">
        <x:f>IF(OR(K6="",K6&lt;=0,M6=""),"",M6/K6)</x:f>
        <x:v>0.5980236794171222</x:v>
      </x:c>
      <x:c r="O6" s="38" t="n">
        <x:f>IF(OR(K6="",K6&lt;=0,L6=""),"",L6/K6)</x:f>
        <x:v>0.8348770491803279</x:v>
      </x:c>
      <x:c r="P6" s="40" t="n">
        <x:f>IF(OR(N6="",I6="",O6=""),"",N6-I6*O6)</x:f>
        <x:v>1.1102230246251565e-16</x:v>
      </x:c>
      <x:c r="Q6" s="29" t="str">
        <x:v>W_avg:R; C_avg:R; PF_shared:T; K:R</x:v>
      </x:c>
      <x:c r="R6" s="29" t="str">
        <x:v>conditional</x:v>
      </x:c>
      <x:c r="S6" s="29" t="str">
        <x:v>conditional_scenario</x:v>
      </x:c>
      <x:c r="T6" s="29" t="str">
        <x:v>Google 2025 Environmental Report (2025; page 110) | Han et al., Small Bottle, Big Pipe (2026; Section 3.1.2) | Council Bluffs Water Works 2022 Annual Report; HDR Council Point Water Treatment Plant project profile (2022; CBWW Annual Report p. 3: Council Point expanded to 10 MGD in 2022; HDR online project profile: Narrows daily output 20 MGD)</x:v>
      </x:c>
      <x:c r="U6" s="32"/>
      <x:c r="V6" s="32"/>
      <x:c r="W6" s="32"/>
      <x:c r="X6" s="32"/>
      <x:c r="Y6" s="32"/>
      <x:c r="Z6" s="32"/>
      <x:c r="AA6" s="32"/>
      <x:c r="AB6" s="32"/>
      <x:c r="AC6" s="32"/>
      <x:c r="AD6" s="32"/>
      <x:c r="AE6" s="32"/>
    </x:row>
    <x:row r="7" ht="42" customHeight="1">
      <x:c r="A7" s="24" t="str">
        <x:v>Mayes County</x:v>
      </x:c>
      <x:c r="B7" s="24" t="str">
        <x:v>OK</x:v>
      </x:c>
      <x:c r="C7" s="24" t="str">
        <x:v>Google</x:v>
      </x:c>
      <x:c r="D7" s="28" t="str">
        <x:v>mayes_fy2024_nominal_k_default_pf</x:v>
      </x:c>
      <x:c r="E7" s="28" t="str">
        <x:v>average_flow</x:v>
      </x:c>
      <x:c r="F7" s="35" t="n">
        <x:f>IF('1. Inputs &amp; Evidence'!$M$30="","",'1. Inputs &amp; Evidence'!$M$30)</x:f>
        <x:v>3.028142076502732</x:v>
      </x:c>
      <x:c r="G7" s="35" t="n">
        <x:f>IF(OR(F7="",I7=""),"",F7*I7)</x:f>
        <x:v>2.2765027322404374</x:v>
      </x:c>
      <x:c r="H7" s="35" t="str">
        <x:f>""</x:f>
      </x:c>
      <x:c r="I7" s="35" t="n">
        <x:f>IF(OR('1. Inputs &amp; Evidence'!$M$31="",F7="",F7=0),"",'1. Inputs &amp; Evidence'!$M$31/F7)</x:f>
        <x:v>0.7517820084814583</x:v>
      </x:c>
      <x:c r="J7" s="35" t="n">
        <x:f>IF('1. Inputs &amp; Evidence'!$M$32="","",'1. Inputs &amp; Evidence'!$M$32)</x:f>
        <x:v>2.5</x:v>
      </x:c>
      <x:c r="K7" s="35" t="n">
        <x:f>IF('1. Inputs &amp; Evidence'!$M$33="","",'1. Inputs &amp; Evidence'!$M$33)</x:f>
        <x:v>50</x:v>
      </x:c>
      <x:c r="L7" s="35" t="n">
        <x:f>IF(E7="direct_peak",IF(H7="","",H7),IF(OR(F7="",J7=""),"",F7*J7))</x:f>
        <x:v>7.57035519125683</x:v>
      </x:c>
      <x:c r="M7" s="35" t="n">
        <x:f>IF(OR(L7="",I7=""),"",L7*I7)</x:f>
        <x:v>5.691256830601094</x:v>
      </x:c>
      <x:c r="N7" s="37" t="n">
        <x:f>IF(OR(K7="",K7&lt;=0,M7=""),"",M7/K7)</x:f>
        <x:v>0.11382513661202187</x:v>
      </x:c>
      <x:c r="O7" s="37" t="n">
        <x:f>IF(OR(K7="",K7&lt;=0,L7=""),"",L7/K7)</x:f>
        <x:v>0.1514071038251366</x:v>
      </x:c>
      <x:c r="P7" s="39" t="n">
        <x:f>IF(OR(N7="",I7="",O7=""),"",N7-I7*O7)</x:f>
        <x:v>-1.3877787807814457e-17</x:v>
      </x:c>
      <x:c r="Q7" s="28" t="str">
        <x:v>W_avg:R; C_avg:R; PF_shared:A; K:M</x:v>
      </x:c>
      <x:c r="R7" s="28" t="str">
        <x:v>conditional</x:v>
      </x:c>
      <x:c r="S7" s="28" t="str">
        <x:v>conditional_scenario</x:v>
      </x:c>
      <x:c r="T7" s="28" t="str">
        <x:v>Google 2025 Environmental Report (2025; page 110) | Author-assumed warm-climate default (2026; WCI input documentation) | MidAmerica Industrial Park infrastructure page (2026; 50 MGD total capacity; accessed 13 August 2026)</x:v>
      </x:c>
      <x:c r="U7" s="32"/>
      <x:c r="V7" s="32"/>
      <x:c r="W7" s="32"/>
      <x:c r="X7" s="32"/>
      <x:c r="Y7" s="32"/>
      <x:c r="Z7" s="32"/>
      <x:c r="AA7" s="32"/>
      <x:c r="AB7" s="32"/>
      <x:c r="AC7" s="32"/>
      <x:c r="AD7" s="32"/>
      <x:c r="AE7" s="32"/>
    </x:row>
    <x:row r="8" ht="42" customHeight="1">
      <x:c r="A8" s="25" t="str">
        <x:v>The Dalles</x:v>
      </x:c>
      <x:c r="B8" s="25" t="str">
        <x:v>OR</x:v>
      </x:c>
      <x:c r="C8" s="25" t="str">
        <x:v>Google</x:v>
      </x:c>
      <x:c r="D8" s="29" t="str">
        <x:v>the_dalles_fy2024_reliable_supply_k</x:v>
      </x:c>
      <x:c r="E8" s="29" t="str">
        <x:v>average_flow</x:v>
      </x:c>
      <x:c r="F8" s="36" t="n">
        <x:f>IF('1. Inputs &amp; Evidence'!$M$34="","",'1. Inputs &amp; Evidence'!$M$34)</x:f>
        <x:v>1.2598360655737706</x:v>
      </x:c>
      <x:c r="G8" s="36" t="n">
        <x:f>IF(OR(F8="",I8=""),"",F8*I8)</x:f>
        <x:v>0.9874316939890709</x:v>
      </x:c>
      <x:c r="H8" s="36" t="str">
        <x:f>""</x:f>
      </x:c>
      <x:c r="I8" s="36" t="n">
        <x:f>IF(OR('1. Inputs &amp; Evidence'!$M$35="",F8="",F8=0),"",'1. Inputs &amp; Evidence'!$M$35/F8)</x:f>
        <x:v>0.7837779223595748</x:v>
      </x:c>
      <x:c r="J8" s="36" t="n">
        <x:f>IF('1. Inputs &amp; Evidence'!$M$36="","",'1. Inputs &amp; Evidence'!$M$36)</x:f>
        <x:v>2.21</x:v>
      </x:c>
      <x:c r="K8" s="36" t="n">
        <x:f>IF('1. Inputs &amp; Evidence'!$M$37="","",'1. Inputs &amp; Evidence'!$M$37)</x:f>
        <x:v>8.7</x:v>
      </x:c>
      <x:c r="L8" s="36" t="n">
        <x:f>IF(E8="direct_peak",IF(H8="","",H8),IF(OR(F8="",J8=""),"",F8*J8))</x:f>
        <x:v>2.784237704918033</x:v>
      </x:c>
      <x:c r="M8" s="36" t="n">
        <x:f>IF(OR(L8="",I8=""),"",L8*I8)</x:f>
        <x:v>2.1822240437158467</x:v>
      </x:c>
      <x:c r="N8" s="38" t="n">
        <x:f>IF(OR(K8="",K8&lt;=0,M8=""),"",M8/K8)</x:f>
        <x:v>0.25083034985239616</x:v>
      </x:c>
      <x:c r="O8" s="38" t="n">
        <x:f>IF(OR(K8="",K8&lt;=0,L8=""),"",L8/K8)</x:f>
        <x:v>0.32002732240437165</x:v>
      </x:c>
      <x:c r="P8" s="40" t="n">
        <x:f>IF(OR(N8="",I8="",O8=""),"",N8-I8*O8)</x:f>
        <x:v>-5.551115123125783e-17</x:v>
      </x:c>
      <x:c r="Q8" s="29" t="str">
        <x:v>W_avg:R; C_avg:R; PF_shared:R; K:M</x:v>
      </x:c>
      <x:c r="R8" s="29" t="str">
        <x:v>conditional</x:v>
      </x:c>
      <x:c r="S8" s="29" t="str">
        <x:v>conditional_scenario</x:v>
      </x:c>
      <x:c r="T8" s="29" t="str">
        <x:v>Google 2025 Environmental Report (2025; page 110) | Consor Water System Master Plan Update cited in first submission and Han et al. (2024; Zone 310) | City of The Dalles 2025 Water Management and Conservation Plan (2025; Section 5.4, p. 107 of City Council agenda compilation: total current reliable peak-season supply 13.4 cfs (8.7 MGD))</x:v>
      </x:c>
      <x:c r="U8" s="32"/>
      <x:c r="V8" s="32"/>
      <x:c r="W8" s="32"/>
      <x:c r="X8" s="32"/>
      <x:c r="Y8" s="32"/>
      <x:c r="Z8" s="32"/>
      <x:c r="AA8" s="32"/>
      <x:c r="AB8" s="32"/>
      <x:c r="AC8" s="32"/>
      <x:c r="AD8" s="32"/>
      <x:c r="AE8" s="32"/>
    </x:row>
    <x:row r="9" ht="42" customHeight="1">
      <x:c r="A9" s="24" t="str">
        <x:v>Douglas County</x:v>
      </x:c>
      <x:c r="B9" s="24" t="str">
        <x:v>GA</x:v>
      </x:c>
      <x:c r="C9" s="24" t="str">
        <x:v>Google</x:v>
      </x:c>
      <x:c r="D9" s="28" t="str">
        <x:v>douglas_reclaimed_subsystem_wci_pdlr</x:v>
      </x:c>
      <x:c r="E9" s="28" t="str">
        <x:v>average_flow</x:v>
      </x:c>
      <x:c r="F9" s="35" t="n">
        <x:f>IF('1. Inputs &amp; Evidence'!$M$46="","",'1. Inputs &amp; Evidence'!$M$46)</x:f>
        <x:v>1.1931693989071037</x:v>
      </x:c>
      <x:c r="G9" s="35" t="n">
        <x:f>IF(OR(F9="",I9=""),"",F9*I9)</x:f>
        <x:v>0.985755128257186</x:v>
      </x:c>
      <x:c r="H9" s="35" t="str">
        <x:f>""</x:f>
      </x:c>
      <x:c r="I9" s="35" t="n">
        <x:f>IF('1. Inputs &amp; Evidence'!$M$47="","",'1. Inputs &amp; Evidence'!$M$47)</x:f>
        <x:v>0.8261652780905201</x:v>
      </x:c>
      <x:c r="J9" s="35" t="n">
        <x:f>IF('1. Inputs &amp; Evidence'!$M$48="","",'1. Inputs &amp; Evidence'!$M$48)</x:f>
        <x:v>2.5</x:v>
      </x:c>
      <x:c r="K9" s="35" t="n">
        <x:f>IF('1. Inputs &amp; Evidence'!$M$49="","",'1. Inputs &amp; Evidence'!$M$49)</x:f>
        <x:v>3</x:v>
      </x:c>
      <x:c r="L9" s="35" t="n">
        <x:f>IF(E9="direct_peak",IF(H9="","",H9),IF(OR(F9="",J9=""),"",F9*J9))</x:f>
        <x:v>2.9829234972677594</x:v>
      </x:c>
      <x:c r="M9" s="35" t="n">
        <x:f>IF(OR(L9="",I9=""),"",L9*I9)</x:f>
        <x:v>2.464387820642965</x:v>
      </x:c>
      <x:c r="N9" s="37" t="n">
        <x:f>IF(OR(K9="",K9&lt;=0,M9=""),"",M9/K9)</x:f>
        <x:v>0.8214626068809884</x:v>
      </x:c>
      <x:c r="O9" s="37" t="n">
        <x:f>IF(OR(K9="",K9&lt;=0,L9=""),"",L9/K9)</x:f>
        <x:v>0.9943078324225865</x:v>
      </x:c>
      <x:c r="P9" s="39" t="n">
        <x:f>IF(OR(N9="",I9="",O9=""),"",N9-I9*O9)</x:f>
        <x:v>0</x:v>
      </x:c>
      <x:c r="Q9" s="28" t="str">
        <x:v>W_avg:R; r_avg:T; PF_shared:A; K:M</x:v>
      </x:c>
      <x:c r="R9" s="28" t="str">
        <x:v>conditional</x:v>
      </x:c>
      <x:c r="S9" s="28" t="str">
        <x:v>conditional_scenario</x:v>
      </x:c>
      <x:c r="T9" s="28" t="str">
        <x:v>Google 2025 Environmental Report (2025; page 110) | Google 2025 Environmental Report (2025; page 110; FY2024 Douglas County total consumption divided by total withdrawal) | Author-assumed warm-climate default (2026; WCI input documentation) | DDCWSA FY2024 Annual Comprehensive Financial Report (2024; Report p. 9: 3.0 MGD side-stream reclaimed facility supplying cooling-tower make-up water to a large data-processing center)</x:v>
      </x:c>
      <x:c r="U9" s="32"/>
      <x:c r="V9" s="32"/>
      <x:c r="W9" s="32"/>
      <x:c r="X9" s="32"/>
      <x:c r="Y9" s="32"/>
      <x:c r="Z9" s="32"/>
      <x:c r="AA9" s="32"/>
      <x:c r="AB9" s="32"/>
      <x:c r="AC9" s="32"/>
      <x:c r="AD9" s="32"/>
      <x:c r="AE9" s="32"/>
    </x:row>
    <x:row r="10" ht="42" customHeight="1">
      <x:c r="A10" s="25" t="str">
        <x:v>Wisconsin site</x:v>
      </x:c>
      <x:c r="B10" s="25" t="str">
        <x:v>WI</x:v>
      </x:c>
      <x:c r="C10" s="25" t="str">
        <x:v>Microsoft</x:v>
      </x:c>
      <x:c r="D10" s="29" t="str">
        <x:v>wisconsin_40_mgd_2021_context</x:v>
      </x:c>
      <x:c r="E10" s="29" t="str">
        <x:v>direct_peak</x:v>
      </x:c>
      <x:c r="F10" s="36" t="n">
        <x:f>IF('1. Inputs &amp; Evidence'!$M$50="","",'1. Inputs &amp; Evidence'!$M$50)</x:f>
        <x:v>0.023013698630137</x:v>
      </x:c>
      <x:c r="G10" s="36" t="str">
        <x:f>""</x:f>
      </x:c>
      <x:c r="H10" s="36" t="n">
        <x:f>IF('1. Inputs &amp; Evidence'!$M$51="","",'1. Inputs &amp; Evidence'!$M$51)</x:f>
        <x:v>0.702</x:v>
      </x:c>
      <x:c r="I10" s="36" t="n">
        <x:f>IF('1. Inputs &amp; Evidence'!$M$52="","",'1. Inputs &amp; Evidence'!$M$52)</x:f>
        <x:v>0.77</x:v>
      </x:c>
      <x:c r="J10" s="36" t="str">
        <x:f>""</x:f>
      </x:c>
      <x:c r="K10" s="36" t="n">
        <x:f>IF('1. Inputs &amp; Evidence'!$M$53="","",'1. Inputs &amp; Evidence'!$M$53)</x:f>
        <x:v>40</x:v>
      </x:c>
      <x:c r="L10" s="36" t="n">
        <x:f>IF(E10="direct_peak",IF(H10="","",H10),IF(OR(F10="",J10=""),"",F10*J10))</x:f>
        <x:v>0.702</x:v>
      </x:c>
      <x:c r="M10" s="36" t="n">
        <x:f>IF(OR(L10="",I10=""),"",L10*I10)</x:f>
        <x:v>0.54054</x:v>
      </x:c>
      <x:c r="N10" s="38" t="n">
        <x:f>IF(OR(K10="",K10&lt;=0,M10=""),"",M10/K10)</x:f>
        <x:v>0.013513500000000001</x:v>
      </x:c>
      <x:c r="O10" s="38" t="n">
        <x:f>IF(OR(K10="",K10&lt;=0,L10=""),"",L10/K10)</x:f>
        <x:v>0.01755</x:v>
      </x:c>
      <x:c r="P10" s="40" t="n">
        <x:f>IF(OR(N10="",I10="",O10=""),"",N10-I10*O10)</x:f>
        <x:v>1.734723475976807e-18</x:v>
      </x:c>
      <x:c r="Q10" s="29" t="str">
        <x:v>W_avg:R; W_peak:P; r_peak:T; K:M</x:v>
      </x:c>
      <x:c r="R10" s="29" t="str">
        <x:v>conditional</x:v>
      </x:c>
      <x:c r="S10" s="29" t="str">
        <x:v>conditional_confirmation_pending</x:v>
      </x:c>
      <x:c r="T10" s="29" t="str">
        <x:v>Wisconsin Public Radio reporting summarized in retained evidence (2025; annual planned water envelope) | Wisconsin Public Radio reporting summarized in retained evidence (2025; planned cooling peak) | Han et al., Small Bottle, Big Pipe (2026; Appendix A.5) | City of Racine Water Utility Director brochure (2021; 40 MGD filtration plant; directly serves Mount Pleasant)</x:v>
      </x:c>
      <x:c r="U10" s="32"/>
      <x:c r="V10" s="32"/>
      <x:c r="W10" s="32"/>
      <x:c r="X10" s="32"/>
      <x:c r="Y10" s="32"/>
      <x:c r="Z10" s="32"/>
      <x:c r="AA10" s="32"/>
      <x:c r="AB10" s="32"/>
      <x:c r="AC10" s="32"/>
      <x:c r="AD10" s="32"/>
      <x:c r="AE10" s="32"/>
    </x:row>
    <x:row r="11" ht="42" customHeight="1">
      <x:c r="A11" s="24" t="str">
        <x:v>Botetourt County</x:v>
      </x:c>
      <x:c r="B11" s="24" t="str">
        <x:v>VA</x:v>
      </x:c>
      <x:c r="C11" s="24" t="str">
        <x:v>Google</x:v>
      </x:c>
      <x:c r="D11" s="28" t="str">
        <x:v>botetourt_peak_reservation_24_mgd_k</x:v>
      </x:c>
      <x:c r="E11" s="28" t="str">
        <x:v>direct_peak</x:v>
      </x:c>
      <x:c r="F11" s="35" t="str">
        <x:f>""</x:f>
      </x:c>
      <x:c r="G11" s="35" t="str">
        <x:f>""</x:f>
      </x:c>
      <x:c r="H11" s="35" t="n">
        <x:f>IF('1. Inputs &amp; Evidence'!$M$54="","",'1. Inputs &amp; Evidence'!$M$54)</x:f>
        <x:v>2</x:v>
      </x:c>
      <x:c r="I11" s="35" t="n">
        <x:f>IF('1. Inputs &amp; Evidence'!$M$55="","",'1. Inputs &amp; Evidence'!$M$55)</x:f>
        <x:v>0.77</x:v>
      </x:c>
      <x:c r="J11" s="35" t="str">
        <x:f>""</x:f>
      </x:c>
      <x:c r="K11" s="35" t="n">
        <x:f>IF('1. Inputs &amp; Evidence'!$M$56="","",'1. Inputs &amp; Evidence'!$M$56)</x:f>
        <x:v>24</x:v>
      </x:c>
      <x:c r="L11" s="35" t="n">
        <x:f>IF(E11="direct_peak",IF(H11="","",H11),IF(OR(F11="",J11=""),"",F11*J11))</x:f>
        <x:v>2</x:v>
      </x:c>
      <x:c r="M11" s="35" t="n">
        <x:f>IF(OR(L11="",I11=""),"",L11*I11)</x:f>
        <x:v>1.54</x:v>
      </x:c>
      <x:c r="N11" s="37" t="n">
        <x:f>IF(OR(K11="",K11&lt;=0,M11=""),"",M11/K11)</x:f>
        <x:v>0.06416666666666666</x:v>
      </x:c>
      <x:c r="O11" s="37" t="n">
        <x:f>IF(OR(K11="",K11&lt;=0,L11=""),"",L11/K11)</x:f>
        <x:v>0.08333333333333333</x:v>
      </x:c>
      <x:c r="P11" s="39" t="n">
        <x:f>IF(OR(N11="",I11="",O11=""),"",N11-I11*O11)</x:f>
        <x:v>0</x:v>
      </x:c>
      <x:c r="Q11" s="28" t="str">
        <x:v>W_peak:P; r_peak:T; K:M</x:v>
      </x:c>
      <x:c r="R11" s="28" t="str">
        <x:v>conditional</x:v>
      </x:c>
      <x:c r="S11" s="28" t="str">
        <x:v>scenario_only</x:v>
      </x:c>
      <x:c r="T11" s="28" t="str">
        <x:v>Western Virginia Water Authority project page and funding agreement (2026; no more than 2 MGD) | Han et al., Small Bottle, Big Pipe (2026; Appendix A.5) | Western Virginia Water Authority current project page and FAQ (2026; Carvins Cove WTP treatment capacity)</x:v>
      </x:c>
      <x:c r="U11" s="32"/>
      <x:c r="V11" s="32"/>
      <x:c r="W11" s="32"/>
      <x:c r="X11" s="32"/>
      <x:c r="Y11" s="32"/>
      <x:c r="Z11" s="32"/>
      <x:c r="AA11" s="32"/>
      <x:c r="AB11" s="32"/>
      <x:c r="AC11" s="32"/>
      <x:c r="AD11" s="32"/>
      <x:c r="AE11" s="32"/>
    </x:row>
    <x:row r="12" ht="42" customHeight="1">
      <x:c r="A12" s="25" t="str">
        <x:v>Memphis</x:v>
      </x:c>
      <x:c r="B12" s="25" t="str">
        <x:v>TN</x:v>
      </x:c>
      <x:c r="C12" s="25" t="str">
        <x:v>xAI</x:v>
      </x:c>
      <x:c r="D12" s="29" t="str">
        <x:v>memphis_peak_serving_plant_30</x:v>
      </x:c>
      <x:c r="E12" s="29" t="str">
        <x:v>direct_peak</x:v>
      </x:c>
      <x:c r="F12" s="36" t="str">
        <x:f>""</x:f>
      </x:c>
      <x:c r="G12" s="36" t="str">
        <x:f>""</x:f>
      </x:c>
      <x:c r="H12" s="36" t="n">
        <x:f>IF('1. Inputs &amp; Evidence'!$M$60="","",'1. Inputs &amp; Evidence'!$M$60)</x:f>
        <x:v>1</x:v>
      </x:c>
      <x:c r="I12" s="36" t="n">
        <x:f>IF('1. Inputs &amp; Evidence'!$M$61="","",'1. Inputs &amp; Evidence'!$M$61)</x:f>
        <x:v>0.77</x:v>
      </x:c>
      <x:c r="J12" s="36" t="str">
        <x:f>""</x:f>
      </x:c>
      <x:c r="K12" s="36" t="n">
        <x:f>IF('1. Inputs &amp; Evidence'!$M$62="","",'1. Inputs &amp; Evidence'!$M$62)</x:f>
        <x:v>30</x:v>
      </x:c>
      <x:c r="L12" s="36" t="n">
        <x:f>IF(E12="direct_peak",IF(H12="","",H12),IF(OR(F12="",J12=""),"",F12*J12))</x:f>
        <x:v>1</x:v>
      </x:c>
      <x:c r="M12" s="36" t="n">
        <x:f>IF(OR(L12="",I12=""),"",L12*I12)</x:f>
        <x:v>0.77</x:v>
      </x:c>
      <x:c r="N12" s="38" t="n">
        <x:f>IF(OR(K12="",K12&lt;=0,M12=""),"",M12/K12)</x:f>
        <x:v>0.025666666666666667</x:v>
      </x:c>
      <x:c r="O12" s="38" t="n">
        <x:f>IF(OR(K12="",K12&lt;=0,L12=""),"",L12/K12)</x:f>
        <x:v>0.03333333333333333</x:v>
      </x:c>
      <x:c r="P12" s="40" t="n">
        <x:f>IF(OR(N12="",I12="",O12=""),"",N12-I12*O12)</x:f>
        <x:v>0</x:v>
      </x:c>
      <x:c r="Q12" s="29" t="str">
        <x:v>W_peak:P; r_peak:T; K:M</x:v>
      </x:c>
      <x:c r="R12" s="29" t="str">
        <x:v>conditional</x:v>
      </x:c>
      <x:c r="S12" s="29" t="str">
        <x:v>scenario_only</x:v>
      </x:c>
      <x:c r="T12" s="29" t="str">
        <x:v>MLGW September-October 2024 community update (2024; up to 1 MGD through existing main) | Han et al., Small Bottle, Big Pipe (2026; Appendix A.5) | MLGW 2022 Drought Management Plan (2022; Davis WTP serving Pidgeon Industrial Park)</x:v>
      </x:c>
      <x:c r="U12" s="32"/>
      <x:c r="V12" s="32"/>
      <x:c r="W12" s="32"/>
      <x:c r="X12" s="32"/>
      <x:c r="Y12" s="32"/>
      <x:c r="Z12" s="32"/>
      <x:c r="AA12" s="32"/>
      <x:c r="AB12" s="32"/>
      <x:c r="AC12" s="32"/>
      <x:c r="AD12" s="32"/>
      <x:c r="AE12" s="32"/>
    </x:row>
    <x:row r="13" ht="42" customHeight="1">
      <x:c r="A13" s="24" t="str">
        <x:v>Midlothian</x:v>
      </x:c>
      <x:c r="B13" s="24" t="str">
        <x:v>TX</x:v>
      </x:c>
      <x:c r="C13" s="24" t="str">
        <x:v>Google</x:v>
      </x:c>
      <x:c r="D13" s="28" t="str">
        <x:v>midlothian_fy2024_nominal_k_default_pf</x:v>
      </x:c>
      <x:c r="E13" s="28" t="str">
        <x:v>average_flow</x:v>
      </x:c>
      <x:c r="F13" s="35" t="n">
        <x:f>IF('1. Inputs &amp; Evidence'!$M$63="","",'1. Inputs &amp; Evidence'!$M$63)</x:f>
        <x:v>0.6038251366120219</x:v>
      </x:c>
      <x:c r="G13" s="35" t="n">
        <x:f>IF(OR(F13="",I13=""),"",F13*I13)</x:f>
        <x:v>0.4980874316939891</x:v>
      </x:c>
      <x:c r="H13" s="35" t="str">
        <x:f>""</x:f>
      </x:c>
      <x:c r="I13" s="35" t="n">
        <x:f>IF(OR('1. Inputs &amp; Evidence'!$M$64="",F13="",F13=0),"",'1. Inputs &amp; Evidence'!$M$64/F13)</x:f>
        <x:v>0.8248868778280544</x:v>
      </x:c>
      <x:c r="J13" s="35" t="n">
        <x:f>IF('1. Inputs &amp; Evidence'!$M$65="","",'1. Inputs &amp; Evidence'!$M$65)</x:f>
        <x:v>2.5</x:v>
      </x:c>
      <x:c r="K13" s="35" t="n">
        <x:f>IF('1. Inputs &amp; Evidence'!$M$66="","",'1. Inputs &amp; Evidence'!$M$66)</x:f>
        <x:v>36</x:v>
      </x:c>
      <x:c r="L13" s="35" t="n">
        <x:f>IF(E13="direct_peak",IF(H13="","",H13),IF(OR(F13="",J13=""),"",F13*J13))</x:f>
        <x:v>1.5095628415300546</x:v>
      </x:c>
      <x:c r="M13" s="35" t="n">
        <x:f>IF(OR(L13="",I13=""),"",L13*I13)</x:f>
        <x:v>1.2452185792349728</x:v>
      </x:c>
      <x:c r="N13" s="37" t="n">
        <x:f>IF(OR(K13="",K13&lt;=0,M13=""),"",M13/K13)</x:f>
        <x:v>0.034589404978749246</x:v>
      </x:c>
      <x:c r="O13" s="37" t="n">
        <x:f>IF(OR(K13="",K13&lt;=0,L13=""),"",L13/K13)</x:f>
        <x:v>0.04193230115361263</x:v>
      </x:c>
      <x:c r="P13" s="39" t="n">
        <x:f>IF(OR(N13="",I13="",O13=""),"",N13-I13*O13)</x:f>
        <x:v>0</x:v>
      </x:c>
      <x:c r="Q13" s="28" t="str">
        <x:v>W_avg:R; C_avg:R; PF_shared:A; K:M</x:v>
      </x:c>
      <x:c r="R13" s="28" t="str">
        <x:v>conditional</x:v>
      </x:c>
      <x:c r="S13" s="28" t="str">
        <x:v>conditional_scenario</x:v>
      </x:c>
      <x:c r="T13" s="28" t="str">
        <x:v>Google 2025 Environmental Report (2025; page 110) | Author-assumed warm-climate default (2026; WCI input documentation) | City of Midlothian Water Treatment Plants page (2026; 12 MGD Tayman plus 24 MGD Auger after 2024 expansion)</x:v>
      </x:c>
      <x:c r="U13" s="32"/>
      <x:c r="V13" s="32"/>
      <x:c r="W13" s="32"/>
      <x:c r="X13" s="32"/>
      <x:c r="Y13" s="32"/>
      <x:c r="Z13" s="32"/>
      <x:c r="AA13" s="32"/>
      <x:c r="AB13" s="32"/>
      <x:c r="AC13" s="32"/>
      <x:c r="AD13" s="32"/>
      <x:c r="AE13" s="32"/>
    </x:row>
    <x:row r="14" ht="42" customHeight="1">
      <x:c r="A14" s="25" t="str">
        <x:v>Henderson</x:v>
      </x:c>
      <x:c r="B14" s="25" t="str">
        <x:v>NV</x:v>
      </x:c>
      <x:c r="C14" s="25" t="str">
        <x:v>Google</x:v>
      </x:c>
      <x:c r="D14" s="29" t="str">
        <x:v>henderson_fy2024_regional_gross_capacity</x:v>
      </x:c>
      <x:c r="E14" s="29" t="str">
        <x:v>average_flow</x:v>
      </x:c>
      <x:c r="F14" s="36" t="n">
        <x:f>IF('1. Inputs &amp; Evidence'!$M$67="","",'1. Inputs &amp; Evidence'!$M$67)</x:f>
        <x:v>0.9833333333333333</x:v>
      </x:c>
      <x:c r="G14" s="36" t="n">
        <x:f>IF(OR(F14="",I14=""),"",F14*I14)</x:f>
        <x:v>0.5666666666666667</x:v>
      </x:c>
      <x:c r="H14" s="36" t="str">
        <x:f>""</x:f>
      </x:c>
      <x:c r="I14" s="36" t="n">
        <x:f>IF(OR('1. Inputs &amp; Evidence'!$M$68="",F14="",F14=0),"",'1. Inputs &amp; Evidence'!$M$68/F14)</x:f>
        <x:v>0.576271186440678</x:v>
      </x:c>
      <x:c r="J14" s="36" t="n">
        <x:f>IF('1. Inputs &amp; Evidence'!$M$69="","",'1. Inputs &amp; Evidence'!$M$69)</x:f>
        <x:v>2.5</x:v>
      </x:c>
      <x:c r="K14" s="36" t="n">
        <x:f>IF('1. Inputs &amp; Evidence'!$M$70="","",'1. Inputs &amp; Evidence'!$M$70)</x:f>
        <x:v>900</x:v>
      </x:c>
      <x:c r="L14" s="36" t="n">
        <x:f>IF(E14="direct_peak",IF(H14="","",H14),IF(OR(F14="",J14=""),"",F14*J14))</x:f>
        <x:v>2.458333333333333</x:v>
      </x:c>
      <x:c r="M14" s="36" t="n">
        <x:f>IF(OR(L14="",I14=""),"",L14*I14)</x:f>
        <x:v>1.4166666666666665</x:v>
      </x:c>
      <x:c r="N14" s="38" t="n">
        <x:f>IF(OR(K14="",K14&lt;=0,M14=""),"",M14/K14)</x:f>
        <x:v>0.0015740740740740739</x:v>
      </x:c>
      <x:c r="O14" s="38" t="n">
        <x:f>IF(OR(K14="",K14&lt;=0,L14=""),"",L14/K14)</x:f>
        <x:v>0.002731481481481481</x:v>
      </x:c>
      <x:c r="P14" s="40" t="n">
        <x:f>IF(OR(N14="",I14="",O14=""),"",N14-I14*O14)</x:f>
        <x:v>0</x:v>
      </x:c>
      <x:c r="Q14" s="29" t="str">
        <x:v>W_avg:R; C_avg:R; PF_shared:A; K:M</x:v>
      </x:c>
      <x:c r="R14" s="29" t="str">
        <x:v>regional</x:v>
      </x:c>
      <x:c r="S14" s="29" t="str">
        <x:v>regional_scenario_only</x:v>
      </x:c>
      <x:c r="T14" s="29" t="str">
        <x:v>Google 2025 Environmental Report (2025; page 110) | Author-assumed warm-climate default (2026; WCI input documentation) | Southern Nevada Water Authority regional water-system records (2024-2026; 600 MGD Alfred Merritt Smith plus 300 MGD River Mountains)</x:v>
      </x:c>
      <x:c r="U14" s="32"/>
      <x:c r="V14" s="32"/>
      <x:c r="W14" s="32"/>
      <x:c r="X14" s="32"/>
      <x:c r="Y14" s="32"/>
      <x:c r="Z14" s="32"/>
      <x:c r="AA14" s="32"/>
      <x:c r="AB14" s="32"/>
      <x:c r="AC14" s="32"/>
      <x:c r="AD14" s="32"/>
      <x:c r="AE14" s="32"/>
    </x:row>
    <x:row r="15">
      <x:c r="A15" s="32"/>
      <x:c r="B15" s="32"/>
      <x:c r="C15" s="32"/>
      <x:c r="D15" s="32"/>
      <x:c r="E15" s="32"/>
      <x:c r="F15" s="32"/>
      <x:c r="G15" s="32"/>
      <x:c r="H15" s="32"/>
      <x:c r="I15" s="32"/>
      <x:c r="J15" s="32"/>
      <x:c r="K15" s="32"/>
      <x:c r="L15" s="32"/>
      <x:c r="M15" s="32"/>
      <x:c r="N15" s="32"/>
      <x:c r="O15" s="32"/>
      <x:c r="P15" s="32"/>
      <x:c r="Q15" s="32"/>
      <x:c r="R15" s="32"/>
      <x:c r="S15" s="32"/>
      <x:c r="T15" s="32"/>
      <x:c r="U15" s="32"/>
      <x:c r="V15" s="32"/>
      <x:c r="W15" s="32"/>
      <x:c r="X15" s="32"/>
      <x:c r="Y15" s="32"/>
      <x:c r="Z15" s="32"/>
      <x:c r="AA15" s="32"/>
      <x:c r="AB15" s="32"/>
      <x:c r="AC15" s="32"/>
      <x:c r="AD15" s="32"/>
      <x:c r="AE15" s="32"/>
    </x:row>
    <x:row r="16">
      <x:c r="A16" s="32"/>
      <x:c r="B16" s="32"/>
      <x:c r="C16" s="32"/>
      <x:c r="D16" s="32"/>
      <x:c r="E16" s="32"/>
      <x:c r="F16" s="32"/>
      <x:c r="G16" s="32"/>
      <x:c r="H16" s="32"/>
      <x:c r="I16" s="32"/>
      <x:c r="J16" s="32"/>
      <x:c r="K16" s="32"/>
      <x:c r="L16" s="32"/>
      <x:c r="M16" s="32"/>
      <x:c r="N16" s="32"/>
      <x:c r="O16" s="32"/>
      <x:c r="P16" s="32"/>
      <x:c r="Q16" s="32"/>
      <x:c r="R16" s="32"/>
      <x:c r="S16" s="32"/>
      <x:c r="T16" s="32"/>
      <x:c r="U16" s="32"/>
      <x:c r="V16" s="32"/>
      <x:c r="W16" s="32"/>
      <x:c r="X16" s="32"/>
      <x:c r="Y16" s="32"/>
      <x:c r="Z16" s="32"/>
      <x:c r="AA16" s="32"/>
      <x:c r="AB16" s="32"/>
      <x:c r="AC16" s="32"/>
      <x:c r="AD16" s="32"/>
      <x:c r="AE16" s="32"/>
    </x:row>
    <x:row r="17" ht="20" customHeight="1">
      <x:c r="A17" s="12" t="str">
        <x:v>Full provenance input table</x:v>
      </x:c>
      <x:c r="B17" s="13" t="str">
        <x:v>Full provenance input table</x:v>
      </x:c>
      <x:c r="C17" s="13" t="str">
        <x:v>Full provenance input table</x:v>
      </x:c>
      <x:c r="D17" s="13" t="str">
        <x:v>Full provenance input table</x:v>
      </x:c>
      <x:c r="E17" s="13" t="str">
        <x:v>Full provenance input table</x:v>
      </x:c>
      <x:c r="F17" s="13" t="str">
        <x:v>Full provenance input table</x:v>
      </x:c>
      <x:c r="G17" s="13" t="str">
        <x:v>Full provenance input table</x:v>
      </x:c>
      <x:c r="H17" s="13" t="str">
        <x:v>Full provenance input table</x:v>
      </x:c>
      <x:c r="I17" s="13" t="str">
        <x:v>Full provenance input table</x:v>
      </x:c>
      <x:c r="J17" s="13" t="str">
        <x:v>Full provenance input table</x:v>
      </x:c>
      <x:c r="K17" s="13" t="str">
        <x:v>Full provenance input table</x:v>
      </x:c>
      <x:c r="L17" s="13" t="str">
        <x:v>Full provenance input table</x:v>
      </x:c>
      <x:c r="M17" s="13" t="str">
        <x:v>Full provenance input table</x:v>
      </x:c>
      <x:c r="N17" s="13" t="str">
        <x:v>Full provenance input table</x:v>
      </x:c>
      <x:c r="O17" s="13" t="str">
        <x:v>Full provenance input table</x:v>
      </x:c>
      <x:c r="P17" s="13" t="str">
        <x:v>Full provenance input table</x:v>
      </x:c>
      <x:c r="Q17" s="13" t="str">
        <x:v>Full provenance input table</x:v>
      </x:c>
      <x:c r="R17" s="13" t="str">
        <x:v>Full provenance input table</x:v>
      </x:c>
      <x:c r="S17" s="13" t="str">
        <x:v>Full provenance input table</x:v>
      </x:c>
      <x:c r="T17" s="13" t="str">
        <x:v>Full provenance input table</x:v>
      </x:c>
      <x:c r="U17" s="13" t="str">
        <x:v>Full provenance input table</x:v>
      </x:c>
      <x:c r="V17" s="13" t="str">
        <x:v>Full provenance input table</x:v>
      </x:c>
      <x:c r="W17" s="13" t="str">
        <x:v>Full provenance input table</x:v>
      </x:c>
      <x:c r="X17" s="13" t="str">
        <x:v>Full provenance input table</x:v>
      </x:c>
      <x:c r="Y17" s="13" t="str">
        <x:v>Full provenance input table</x:v>
      </x:c>
      <x:c r="Z17" s="13" t="str">
        <x:v>Full provenance input table</x:v>
      </x:c>
      <x:c r="AA17" s="13" t="str">
        <x:v>Full provenance input table</x:v>
      </x:c>
      <x:c r="AB17" s="13" t="str">
        <x:v>Full provenance input table</x:v>
      </x:c>
      <x:c r="AC17" s="13" t="str">
        <x:v>Full provenance input table</x:v>
      </x:c>
      <x:c r="AD17" s="13" t="str">
        <x:v>Full provenance input table</x:v>
      </x:c>
      <x:c r="AE17" s="14" t="str">
        <x:v>Full provenance input table</x:v>
      </x:c>
    </x:row>
    <x:row r="18" ht="30" customHeight="1">
      <x:c r="A18" s="56" t="str">
        <x:v>Yellow cells are editable source inputs. Pale-blue cells are formula-derived. FY2024 annual quantities in column O are converted to daily central values in column M using 366 days. Evidence classes and boundary fields are retained exactly from the repository provenance file.</x:v>
      </x:c>
      <x:c r="B18" s="56"/>
      <x:c r="C18" s="56"/>
      <x:c r="D18" s="56"/>
      <x:c r="E18" s="56"/>
      <x:c r="F18" s="56"/>
      <x:c r="G18" s="56"/>
      <x:c r="H18" s="56"/>
      <x:c r="I18" s="56"/>
      <x:c r="J18" s="56"/>
      <x:c r="K18" s="56"/>
      <x:c r="L18" s="56"/>
      <x:c r="M18" s="56"/>
      <x:c r="N18" s="56"/>
      <x:c r="O18" s="56"/>
      <x:c r="P18" s="56"/>
      <x:c r="Q18" s="56"/>
      <x:c r="R18" s="56"/>
      <x:c r="S18" s="56"/>
      <x:c r="T18" s="56"/>
      <x:c r="U18" s="56"/>
      <x:c r="V18" s="56"/>
      <x:c r="W18" s="56"/>
      <x:c r="X18" s="56"/>
      <x:c r="Y18" s="56"/>
      <x:c r="Z18" s="56"/>
      <x:c r="AA18" s="56"/>
      <x:c r="AB18" s="56"/>
      <x:c r="AC18" s="56"/>
      <x:c r="AD18" s="56"/>
      <x:c r="AE18" s="56"/>
    </x:row>
    <x:row r="19">
      <x:c r="A19" s="21" t="str">
        <x:v>site_id</x:v>
      </x:c>
      <x:c r="B19" s="21" t="str">
        <x:v>site_name</x:v>
      </x:c>
      <x:c r="C19" s="21" t="str">
        <x:v>state</x:v>
      </x:c>
      <x:c r="D19" s="21" t="str">
        <x:v>operator</x:v>
      </x:c>
      <x:c r="E19" s="21" t="str">
        <x:v>scenario_id</x:v>
      </x:c>
      <x:c r="F19" s="21" t="str">
        <x:v>scenario_name</x:v>
      </x:c>
      <x:c r="G19" s="21" t="str">
        <x:v>scenario_type</x:v>
      </x:c>
      <x:c r="H19" s="21" t="str">
        <x:v>comparison_anchor</x:v>
      </x:c>
      <x:c r="I19" s="21" t="str">
        <x:v>calculation_allowed</x:v>
      </x:c>
      <x:c r="J19" s="21" t="str">
        <x:v>analysis_unit</x:v>
      </x:c>
      <x:c r="K19" s="21" t="str">
        <x:v>operational_status</x:v>
      </x:c>
      <x:c r="L19" s="21" t="str">
        <x:v>parameter</x:v>
      </x:c>
      <x:c r="M19" s="21" t="str">
        <x:v>central_value</x:v>
      </x:c>
      <x:c r="N19" s="21" t="str">
        <x:v>units</x:v>
      </x:c>
      <x:c r="O19" s="21" t="str">
        <x:v>source_reported_value</x:v>
      </x:c>
      <x:c r="P19" s="21" t="str">
        <x:v>source_reported_units</x:v>
      </x:c>
      <x:c r="Q19" s="21" t="str">
        <x:v>evidence_class</x:v>
      </x:c>
      <x:c r="R19" s="21" t="str">
        <x:v>source</x:v>
      </x:c>
      <x:c r="S19" s="21" t="str">
        <x:v>source_year</x:v>
      </x:c>
      <x:c r="T19" s="21" t="str">
        <x:v>source_locator</x:v>
      </x:c>
      <x:c r="U19" s="21" t="str">
        <x:v>temporal_basis</x:v>
      </x:c>
      <x:c r="V19" s="21" t="str">
        <x:v>water_source</x:v>
      </x:c>
      <x:c r="W19" s="21" t="str">
        <x:v>geographic_boundary</x:v>
      </x:c>
      <x:c r="X19" s="21" t="str">
        <x:v>capacity_type</x:v>
      </x:c>
      <x:c r="Y19" s="21" t="str">
        <x:v>boundary_match</x:v>
      </x:c>
      <x:c r="Z19" s="21" t="str">
        <x:v>source_status</x:v>
      </x:c>
      <x:c r="AA19" s="21" t="str">
        <x:v>low_value</x:v>
      </x:c>
      <x:c r="AB19" s="21" t="str">
        <x:v>high_value</x:v>
      </x:c>
      <x:c r="AC19" s="21" t="str">
        <x:v>range_basis</x:v>
      </x:c>
      <x:c r="AD19" s="21" t="str">
        <x:v>rank_admissibility</x:v>
      </x:c>
      <x:c r="AE19" s="21" t="str">
        <x:v>notes</x:v>
      </x:c>
    </x:row>
    <x:row r="20">
      <x:c r="A20" s="49" t="str">
        <x:v>lebanon_in</x:v>
      </x:c>
      <x:c r="B20" s="49" t="str">
        <x:v>Lebanon</x:v>
      </x:c>
      <x:c r="C20" s="49" t="str">
        <x:v>IN</x:v>
      </x:c>
      <x:c r="D20" s="49" t="str">
        <x:v>Meta</x:v>
      </x:c>
      <x:c r="E20" s="49" t="str">
        <x:v>lebanon_tier3_existing_system_counterfactual</x:v>
      </x:c>
      <x:c r="F20" s="49" t="str">
        <x:v>Tier III peak against existing 4.6 MGD system</x:v>
      </x:c>
      <x:c r="G20" s="49" t="str">
        <x:v>pre_expansion_counterfactual</x:v>
      </x:c>
      <x:c r="H20" s="49" t="str">
        <x:v>yes</x:v>
      </x:c>
      <x:c r="I20" s="49" t="str">
        <x:v>yes</x:v>
      </x:c>
      <x:c r="J20" s="49" t="str">
        <x:v>development reservation</x:v>
      </x:c>
      <x:c r="K20" s="49" t="str">
        <x:v>planned Tier III full buildout</x:v>
      </x:c>
      <x:c r="L20" s="49" t="str">
        <x:v>W_peak</x:v>
      </x:c>
      <x:c r="M20" s="50" t="n">
        <x:v>8</x:v>
      </x:c>
      <x:c r="N20" s="49" t="str">
        <x:v>MGD</x:v>
      </x:c>
      <x:c r="O20" s="49" t="n">
        <x:v>8</x:v>
      </x:c>
      <x:c r="P20" s="49" t="str">
        <x:v>MGD</x:v>
      </x:c>
      <x:c r="Q20" s="51" t="str">
        <x:v>P</x:v>
      </x:c>
      <x:c r="R20" s="49" t="str">
        <x:v>Project Domino Water and Wastewater Agreement</x:v>
      </x:c>
      <x:c r="S20" s="49" t="n">
        <x:v>2025</x:v>
      </x:c>
      <x:c r="T20" s="49" t="str">
        <x:v>Exhibit B, Tier III</x:v>
      </x:c>
      <x:c r="U20" s="49" t="str">
        <x:v>one-hour maximum within a 24-hour period at Tier III</x:v>
      </x:c>
      <x:c r="V20" s="49" t="str">
        <x:v>unknown</x:v>
      </x:c>
      <x:c r="W20" s="49" t="str">
        <x:v>Lebanon Utilities development service area</x:v>
      </x:c>
      <x:c r="X20" s="49" t="str">
        <x:v>contracted Tier III peak</x:v>
      </x:c>
      <x:c r="Y20" s="49" t="str">
        <x:v>conditional</x:v>
      </x:c>
      <x:c r="Z20" s="49" t="str">
        <x:v>verified_local</x:v>
      </x:c>
      <x:c r="AA20" s="49"/>
      <x:c r="AB20" s="49"/>
      <x:c r="AC20" s="49"/>
      <x:c r="AD20" s="49" t="str">
        <x:v>scenario_only</x:v>
      </x:c>
      <x:c r="AE20" s="49" t="str">
        <x:v>Planning counterfactual, not current operation.</x:v>
      </x:c>
    </x:row>
    <x:row r="21">
      <x:c r="A21" s="52" t="str">
        <x:v>lebanon_in</x:v>
      </x:c>
      <x:c r="B21" s="52" t="str">
        <x:v>Lebanon</x:v>
      </x:c>
      <x:c r="C21" s="52" t="str">
        <x:v>IN</x:v>
      </x:c>
      <x:c r="D21" s="52" t="str">
        <x:v>Meta</x:v>
      </x:c>
      <x:c r="E21" s="52" t="str">
        <x:v>lebanon_tier3_existing_system_counterfactual</x:v>
      </x:c>
      <x:c r="F21" s="52" t="str">
        <x:v>Tier III peak against existing 4.6 MGD system</x:v>
      </x:c>
      <x:c r="G21" s="52" t="str">
        <x:v>pre_expansion_counterfactual</x:v>
      </x:c>
      <x:c r="H21" s="52" t="str">
        <x:v>yes</x:v>
      </x:c>
      <x:c r="I21" s="52" t="str">
        <x:v>yes</x:v>
      </x:c>
      <x:c r="J21" s="52" t="str">
        <x:v>development reservation</x:v>
      </x:c>
      <x:c r="K21" s="52" t="str">
        <x:v>planned Tier III full buildout</x:v>
      </x:c>
      <x:c r="L21" s="52" t="str">
        <x:v>r_peak</x:v>
      </x:c>
      <x:c r="M21" s="50" t="n">
        <x:v>0.77</x:v>
      </x:c>
      <x:c r="N21" s="52" t="str">
        <x:v>dimensionless</x:v>
      </x:c>
      <x:c r="O21" s="52" t="n">
        <x:v>0.77</x:v>
      </x:c>
      <x:c r="P21" s="52" t="str">
        <x:v>dimensionless</x:v>
      </x:c>
      <x:c r="Q21" s="53" t="str">
        <x:v>T</x:v>
      </x:c>
      <x:c r="R21" s="52" t="str">
        <x:v>Han et al., Small Bottle, Big Pipe</x:v>
      </x:c>
      <x:c r="S21" s="52" t="n">
        <x:v>2026</x:v>
      </x:c>
      <x:c r="T21" s="52" t="str">
        <x:v>Appendix A.5</x:v>
      </x:c>
      <x:c r="U21" s="52" t="str">
        <x:v>fleet aggregate transferred to peak scenario</x:v>
      </x:c>
      <x:c r="V21" s="52" t="str">
        <x:v>mixed or unknown</x:v>
      </x:c>
      <x:c r="W21" s="52" t="str">
        <x:v>hyperscale operator fleet</x:v>
      </x:c>
      <x:c r="X21" s="52" t="str">
        <x:v>not applicable</x:v>
      </x:c>
      <x:c r="Y21" s="52" t="str">
        <x:v>conditional</x:v>
      </x:c>
      <x:c r="Z21" s="52" t="str">
        <x:v>verified_local</x:v>
      </x:c>
      <x:c r="AA21" s="52"/>
      <x:c r="AB21" s="52"/>
      <x:c r="AC21" s="52"/>
      <x:c r="AD21" s="52" t="str">
        <x:v>scenario_only</x:v>
      </x:c>
      <x:c r="AE21" s="52" t="str">
        <x:v>Constant consumptive ratio at peak is an explicit scenario assumption.</x:v>
      </x:c>
    </x:row>
    <x:row r="22">
      <x:c r="A22" s="49" t="str">
        <x:v>lebanon_in</x:v>
      </x:c>
      <x:c r="B22" s="49" t="str">
        <x:v>Lebanon</x:v>
      </x:c>
      <x:c r="C22" s="49" t="str">
        <x:v>IN</x:v>
      </x:c>
      <x:c r="D22" s="49" t="str">
        <x:v>Meta</x:v>
      </x:c>
      <x:c r="E22" s="49" t="str">
        <x:v>lebanon_tier3_existing_system_counterfactual</x:v>
      </x:c>
      <x:c r="F22" s="49" t="str">
        <x:v>Tier III peak against existing 4.6 MGD system</x:v>
      </x:c>
      <x:c r="G22" s="49" t="str">
        <x:v>pre_expansion_counterfactual</x:v>
      </x:c>
      <x:c r="H22" s="49" t="str">
        <x:v>yes</x:v>
      </x:c>
      <x:c r="I22" s="49" t="str">
        <x:v>yes</x:v>
      </x:c>
      <x:c r="J22" s="49" t="str">
        <x:v>development reservation</x:v>
      </x:c>
      <x:c r="K22" s="49" t="str">
        <x:v>planned Tier III full buildout</x:v>
      </x:c>
      <x:c r="L22" s="49" t="str">
        <x:v>K</x:v>
      </x:c>
      <x:c r="M22" s="50" t="n">
        <x:v>4.6</x:v>
      </x:c>
      <x:c r="N22" s="49" t="str">
        <x:v>MGD</x:v>
      </x:c>
      <x:c r="O22" s="49" t="n">
        <x:v>4.6</x:v>
      </x:c>
      <x:c r="P22" s="49" t="str">
        <x:v>MGD</x:v>
      </x:c>
      <x:c r="Q22" s="51" t="str">
        <x:v>M</x:v>
      </x:c>
      <x:c r="R22" s="49" t="str">
        <x:v>Project Domino Water and Wastewater Agreement</x:v>
      </x:c>
      <x:c r="S22" s="49" t="n">
        <x:v>2025</x:v>
      </x:c>
      <x:c r="T22" s="49" t="str">
        <x:v>existing Lebanon permitted intake and treatment capability</x:v>
      </x:c>
      <x:c r="U22" s="49" t="str">
        <x:v>current gross system capacity</x:v>
      </x:c>
      <x:c r="V22" s="49" t="str">
        <x:v>unknown</x:v>
      </x:c>
      <x:c r="W22" s="49" t="str">
        <x:v>Lebanon Utilities system</x:v>
      </x:c>
      <x:c r="X22" s="49" t="str">
        <x:v>existing permitted intake and treatment capability</x:v>
      </x:c>
      <x:c r="Y22" s="49" t="str">
        <x:v>conditional</x:v>
      </x:c>
      <x:c r="Z22" s="49" t="str">
        <x:v>verified_local</x:v>
      </x:c>
      <x:c r="AA22" s="49"/>
      <x:c r="AB22" s="49"/>
      <x:c r="AC22" s="49"/>
      <x:c r="AD22" s="49" t="str">
        <x:v>scenario_only</x:v>
      </x:c>
      <x:c r="AE22" s="49" t="str">
        <x:v>The 2031 numerator and pre-expansion denominator are intentionally time mismatched to form a counterfactual.</x:v>
      </x:c>
    </x:row>
    <x:row r="23">
      <x:c r="A23" s="52" t="str">
        <x:v>lebanon_in</x:v>
      </x:c>
      <x:c r="B23" s="52" t="str">
        <x:v>Lebanon</x:v>
      </x:c>
      <x:c r="C23" s="52" t="str">
        <x:v>IN</x:v>
      </x:c>
      <x:c r="D23" s="52" t="str">
        <x:v>Meta</x:v>
      </x:c>
      <x:c r="E23" s="52" t="str">
        <x:v>lebanon_tier3_planned_wholesale_allocation</x:v>
      </x:c>
      <x:c r="F23" s="52" t="str">
        <x:v>Tier III peak against planned 25 MGD wholesale allocation</x:v>
      </x:c>
      <x:c r="G23" s="52" t="str">
        <x:v>planned_allocation_scenario</x:v>
      </x:c>
      <x:c r="H23" s="52" t="str">
        <x:v>no</x:v>
      </x:c>
      <x:c r="I23" s="52" t="str">
        <x:v>yes</x:v>
      </x:c>
      <x:c r="J23" s="52" t="str">
        <x:v>development reservation</x:v>
      </x:c>
      <x:c r="K23" s="52" t="str">
        <x:v>planned Tier III full buildout</x:v>
      </x:c>
      <x:c r="L23" s="52" t="str">
        <x:v>W_peak</x:v>
      </x:c>
      <x:c r="M23" s="50" t="n">
        <x:v>8</x:v>
      </x:c>
      <x:c r="N23" s="52" t="str">
        <x:v>MGD</x:v>
      </x:c>
      <x:c r="O23" s="52" t="n">
        <x:v>8</x:v>
      </x:c>
      <x:c r="P23" s="52" t="str">
        <x:v>MGD</x:v>
      </x:c>
      <x:c r="Q23" s="53" t="str">
        <x:v>P</x:v>
      </x:c>
      <x:c r="R23" s="52" t="str">
        <x:v>Project Domino Water and Wastewater Agreement</x:v>
      </x:c>
      <x:c r="S23" s="52" t="n">
        <x:v>2025</x:v>
      </x:c>
      <x:c r="T23" s="52" t="str">
        <x:v>Exhibit B, Tier III</x:v>
      </x:c>
      <x:c r="U23" s="52" t="str">
        <x:v>one-hour maximum within a 24-hour period at Tier III</x:v>
      </x:c>
      <x:c r="V23" s="52" t="str">
        <x:v>unknown</x:v>
      </x:c>
      <x:c r="W23" s="52" t="str">
        <x:v>Lebanon development service area</x:v>
      </x:c>
      <x:c r="X23" s="52" t="str">
        <x:v>contracted Tier III peak</x:v>
      </x:c>
      <x:c r="Y23" s="52" t="str">
        <x:v>conditional</x:v>
      </x:c>
      <x:c r="Z23" s="52" t="str">
        <x:v>verified_local</x:v>
      </x:c>
      <x:c r="AA23" s="52"/>
      <x:c r="AB23" s="52"/>
      <x:c r="AC23" s="52"/>
      <x:c r="AD23" s="52" t="str">
        <x:v>within_site_scenario_only</x:v>
      </x:c>
      <x:c r="AE23" s="52" t="str">
        <x:v>The 8 MGD Tier III peak is source reported.</x:v>
      </x:c>
    </x:row>
    <x:row r="24">
      <x:c r="A24" s="49" t="str">
        <x:v>lebanon_in</x:v>
      </x:c>
      <x:c r="B24" s="49" t="str">
        <x:v>Lebanon</x:v>
      </x:c>
      <x:c r="C24" s="49" t="str">
        <x:v>IN</x:v>
      </x:c>
      <x:c r="D24" s="49" t="str">
        <x:v>Meta</x:v>
      </x:c>
      <x:c r="E24" s="49" t="str">
        <x:v>lebanon_tier3_planned_wholesale_allocation</x:v>
      </x:c>
      <x:c r="F24" s="49" t="str">
        <x:v>Tier III peak against planned 25 MGD wholesale allocation</x:v>
      </x:c>
      <x:c r="G24" s="49" t="str">
        <x:v>planned_allocation_scenario</x:v>
      </x:c>
      <x:c r="H24" s="49" t="str">
        <x:v>no</x:v>
      </x:c>
      <x:c r="I24" s="49" t="str">
        <x:v>yes</x:v>
      </x:c>
      <x:c r="J24" s="49" t="str">
        <x:v>development reservation</x:v>
      </x:c>
      <x:c r="K24" s="49" t="str">
        <x:v>planned Tier III full buildout</x:v>
      </x:c>
      <x:c r="L24" s="49" t="str">
        <x:v>r_peak</x:v>
      </x:c>
      <x:c r="M24" s="50" t="n">
        <x:v>0.77</x:v>
      </x:c>
      <x:c r="N24" s="49" t="str">
        <x:v>dimensionless</x:v>
      </x:c>
      <x:c r="O24" s="49" t="n">
        <x:v>0.77</x:v>
      </x:c>
      <x:c r="P24" s="49" t="str">
        <x:v>dimensionless</x:v>
      </x:c>
      <x:c r="Q24" s="51" t="str">
        <x:v>T</x:v>
      </x:c>
      <x:c r="R24" s="49" t="str">
        <x:v>Han et al., Small Bottle, Big Pipe</x:v>
      </x:c>
      <x:c r="S24" s="49" t="n">
        <x:v>2026</x:v>
      </x:c>
      <x:c r="T24" s="49" t="str">
        <x:v>Appendix A.5</x:v>
      </x:c>
      <x:c r="U24" s="49" t="str">
        <x:v>fleet aggregate transferred to peak scenario</x:v>
      </x:c>
      <x:c r="V24" s="49" t="str">
        <x:v>mixed or unknown</x:v>
      </x:c>
      <x:c r="W24" s="49" t="str">
        <x:v>hyperscale operator fleet</x:v>
      </x:c>
      <x:c r="X24" s="49" t="str">
        <x:v>not applicable</x:v>
      </x:c>
      <x:c r="Y24" s="49" t="str">
        <x:v>conditional</x:v>
      </x:c>
      <x:c r="Z24" s="49" t="str">
        <x:v>verified_local</x:v>
      </x:c>
      <x:c r="AA24" s="49"/>
      <x:c r="AB24" s="49"/>
      <x:c r="AC24" s="49"/>
      <x:c r="AD24" s="49" t="str">
        <x:v>within_site_scenario_only</x:v>
      </x:c>
      <x:c r="AE24" s="49" t="str">
        <x:v>Constant consumptive ratio at peak is an explicit scenario assumption.</x:v>
      </x:c>
    </x:row>
    <x:row r="25">
      <x:c r="A25" s="52" t="str">
        <x:v>lebanon_in</x:v>
      </x:c>
      <x:c r="B25" s="52" t="str">
        <x:v>Lebanon</x:v>
      </x:c>
      <x:c r="C25" s="52" t="str">
        <x:v>IN</x:v>
      </x:c>
      <x:c r="D25" s="52" t="str">
        <x:v>Meta</x:v>
      </x:c>
      <x:c r="E25" s="52" t="str">
        <x:v>lebanon_tier3_planned_wholesale_allocation</x:v>
      </x:c>
      <x:c r="F25" s="52" t="str">
        <x:v>Tier III peak against planned 25 MGD wholesale allocation</x:v>
      </x:c>
      <x:c r="G25" s="52" t="str">
        <x:v>planned_allocation_scenario</x:v>
      </x:c>
      <x:c r="H25" s="52" t="str">
        <x:v>no</x:v>
      </x:c>
      <x:c r="I25" s="52" t="str">
        <x:v>yes</x:v>
      </x:c>
      <x:c r="J25" s="52" t="str">
        <x:v>development reservation</x:v>
      </x:c>
      <x:c r="K25" s="52" t="str">
        <x:v>planned Tier III full buildout</x:v>
      </x:c>
      <x:c r="L25" s="52" t="str">
        <x:v>K</x:v>
      </x:c>
      <x:c r="M25" s="50" t="n">
        <x:v>25</x:v>
      </x:c>
      <x:c r="N25" s="52" t="str">
        <x:v>MGD</x:v>
      </x:c>
      <x:c r="O25" s="52" t="n">
        <x:v>25</x:v>
      </x:c>
      <x:c r="P25" s="52" t="str">
        <x:v>MGD</x:v>
      </x:c>
      <x:c r="Q25" s="53" t="str">
        <x:v>P</x:v>
      </x:c>
      <x:c r="R25" s="52" t="str">
        <x:v>Project Domino agreement; Citizens Central Indiana Water Supply Project</x:v>
      </x:c>
      <x:c r="S25" s="52" t="str">
        <x:v>2025-2026</x:v>
      </x:c>
      <x:c r="T25" s="52" t="str">
        <x:v>up to 25 MGD by 2031</x:v>
      </x:c>
      <x:c r="U25" s="52" t="str">
        <x:v>planned wholesale allocation</x:v>
      </x:c>
      <x:c r="V25" s="52" t="str">
        <x:v>surface water</x:v>
      </x:c>
      <x:c r="W25" s="52" t="str">
        <x:v>future Lebanon wholesale supply</x:v>
      </x:c>
      <x:c r="X25" s="52" t="str">
        <x:v>planned allocation, not verified total capacity</x:v>
      </x:c>
      <x:c r="Y25" s="52" t="str">
        <x:v>conditional</x:v>
      </x:c>
      <x:c r="Z25" s="52" t="str">
        <x:v>authoritative_current</x:v>
      </x:c>
      <x:c r="AA25" s="52"/>
      <x:c r="AB25" s="52"/>
      <x:c r="AC25" s="52"/>
      <x:c r="AD25" s="52" t="str">
        <x:v>within_site_scenario_only</x:v>
      </x:c>
      <x:c r="AE25" s="52" t="str">
        <x:v>No 29.6 MGD total is inferred by adding 4.6 and 25.</x:v>
      </x:c>
    </x:row>
    <x:row r="26">
      <x:c r="A26" s="49" t="str">
        <x:v>council_bluffs_ia</x:v>
      </x:c>
      <x:c r="B26" s="49" t="str">
        <x:v>Council Bluffs</x:v>
      </x:c>
      <x:c r="C26" s="49" t="str">
        <x:v>IA</x:v>
      </x:c>
      <x:c r="D26" s="49" t="str">
        <x:v>Google</x:v>
      </x:c>
      <x:c r="E26" s="49" t="str">
        <x:v>council_bluffs_fy2024_combined_nominal_k</x:v>
      </x:c>
      <x:c r="F26" s="49" t="str">
        <x:v>FY2024 campus against reconstructed 30 MGD combined potable-system capacity</x:v>
      </x:c>
      <x:c r="G26" s="49" t="str">
        <x:v>reconstructed_combined_nominal_capacity</x:v>
      </x:c>
      <x:c r="H26" s="49" t="str">
        <x:v>yes</x:v>
      </x:c>
      <x:c r="I26" s="49" t="str">
        <x:v>yes</x:v>
      </x:c>
      <x:c r="J26" s="49" t="str">
        <x:v>campus</x:v>
      </x:c>
      <x:c r="K26" s="49" t="str">
        <x:v>operating FY2024</x:v>
      </x:c>
      <x:c r="L26" s="49" t="str">
        <x:v>W_avg</x:v>
      </x:c>
      <x:c r="M26" s="54" t="n">
        <x:f>O26/366</x:f>
        <x:v>3.85327868852459</x:v>
      </x:c>
      <x:c r="N26" s="49" t="str">
        <x:v>MGD</x:v>
      </x:c>
      <x:c r="O26" s="55" t="n">
        <x:v>1410.3</x:v>
      </x:c>
      <x:c r="P26" s="49" t="str">
        <x:v>Mgal per FY2024</x:v>
      </x:c>
      <x:c r="Q26" s="51" t="str">
        <x:v>R</x:v>
      </x:c>
      <x:c r="R26" s="49" t="str">
        <x:v>Google 2025 Environmental Report</x:v>
      </x:c>
      <x:c r="S26" s="49" t="n">
        <x:v>2025</x:v>
      </x:c>
      <x:c r="T26" s="49" t="str">
        <x:v>page 110</x:v>
      </x:c>
      <x:c r="U26" s="49" t="str">
        <x:v>FY2024 annual actual divided by 366 days</x:v>
      </x:c>
      <x:c r="V26" s="49" t="str">
        <x:v>mixed or unknown</x:v>
      </x:c>
      <x:c r="W26" s="49" t="str">
        <x:v>Council Bluffs campus</x:v>
      </x:c>
      <x:c r="X26" s="49" t="str">
        <x:v>not applicable</x:v>
      </x:c>
      <x:c r="Y26" s="49" t="str">
        <x:v>conditional</x:v>
      </x:c>
      <x:c r="Z26" s="49" t="str">
        <x:v>verified_local</x:v>
      </x:c>
      <x:c r="AA26" s="49"/>
      <x:c r="AB26" s="49"/>
      <x:c r="AC26" s="49"/>
      <x:c r="AD26" s="49" t="str">
        <x:v>conditional_scenario</x:v>
      </x:c>
      <x:c r="AE26" s="49" t="str">
        <x:v>FY2024 was a leap year.</x:v>
      </x:c>
    </x:row>
    <x:row r="27">
      <x:c r="A27" s="52" t="str">
        <x:v>council_bluffs_ia</x:v>
      </x:c>
      <x:c r="B27" s="52" t="str">
        <x:v>Council Bluffs</x:v>
      </x:c>
      <x:c r="C27" s="52" t="str">
        <x:v>IA</x:v>
      </x:c>
      <x:c r="D27" s="52" t="str">
        <x:v>Google</x:v>
      </x:c>
      <x:c r="E27" s="52" t="str">
        <x:v>council_bluffs_fy2024_combined_nominal_k</x:v>
      </x:c>
      <x:c r="F27" s="52" t="str">
        <x:v>FY2024 campus against reconstructed 30 MGD combined potable-system capacity</x:v>
      </x:c>
      <x:c r="G27" s="52" t="str">
        <x:v>reconstructed_combined_nominal_capacity</x:v>
      </x:c>
      <x:c r="H27" s="52" t="str">
        <x:v>yes</x:v>
      </x:c>
      <x:c r="I27" s="52" t="str">
        <x:v>yes</x:v>
      </x:c>
      <x:c r="J27" s="52" t="str">
        <x:v>campus</x:v>
      </x:c>
      <x:c r="K27" s="52" t="str">
        <x:v>operating FY2024</x:v>
      </x:c>
      <x:c r="L27" s="52" t="str">
        <x:v>C_avg</x:v>
      </x:c>
      <x:c r="M27" s="54" t="n">
        <x:f>O27/366</x:f>
        <x:v>2.7601092896174864</x:v>
      </x:c>
      <x:c r="N27" s="52" t="str">
        <x:v>MGD</x:v>
      </x:c>
      <x:c r="O27" s="55" t="n">
        <x:v>1010.2</x:v>
      </x:c>
      <x:c r="P27" s="52" t="str">
        <x:v>Mgal per FY2024</x:v>
      </x:c>
      <x:c r="Q27" s="53" t="str">
        <x:v>R</x:v>
      </x:c>
      <x:c r="R27" s="52" t="str">
        <x:v>Google 2025 Environmental Report</x:v>
      </x:c>
      <x:c r="S27" s="52" t="n">
        <x:v>2025</x:v>
      </x:c>
      <x:c r="T27" s="52" t="str">
        <x:v>page 110</x:v>
      </x:c>
      <x:c r="U27" s="52" t="str">
        <x:v>FY2024 annual actual divided by 366 days</x:v>
      </x:c>
      <x:c r="V27" s="52" t="str">
        <x:v>mixed or unknown</x:v>
      </x:c>
      <x:c r="W27" s="52" t="str">
        <x:v>Council Bluffs campus</x:v>
      </x:c>
      <x:c r="X27" s="52" t="str">
        <x:v>not applicable</x:v>
      </x:c>
      <x:c r="Y27" s="52" t="str">
        <x:v>conditional</x:v>
      </x:c>
      <x:c r="Z27" s="52" t="str">
        <x:v>verified_local</x:v>
      </x:c>
      <x:c r="AA27" s="52"/>
      <x:c r="AB27" s="52"/>
      <x:c r="AC27" s="52"/>
      <x:c r="AD27" s="52" t="str">
        <x:v>conditional_scenario</x:v>
      </x:c>
      <x:c r="AE27" s="52" t="str">
        <x:v>Same campus and year as withdrawal; used with the reconstructed system-capacity scenario.</x:v>
      </x:c>
    </x:row>
    <x:row r="28">
      <x:c r="A28" s="49" t="str">
        <x:v>council_bluffs_ia</x:v>
      </x:c>
      <x:c r="B28" s="49" t="str">
        <x:v>Council Bluffs</x:v>
      </x:c>
      <x:c r="C28" s="49" t="str">
        <x:v>IA</x:v>
      </x:c>
      <x:c r="D28" s="49" t="str">
        <x:v>Google</x:v>
      </x:c>
      <x:c r="E28" s="49" t="str">
        <x:v>council_bluffs_fy2024_combined_nominal_k</x:v>
      </x:c>
      <x:c r="F28" s="49" t="str">
        <x:v>FY2024 campus against reconstructed 30 MGD combined potable-system capacity</x:v>
      </x:c>
      <x:c r="G28" s="49" t="str">
        <x:v>reconstructed_combined_nominal_capacity</x:v>
      </x:c>
      <x:c r="H28" s="49" t="str">
        <x:v>yes</x:v>
      </x:c>
      <x:c r="I28" s="49" t="str">
        <x:v>yes</x:v>
      </x:c>
      <x:c r="J28" s="49" t="str">
        <x:v>campus</x:v>
      </x:c>
      <x:c r="K28" s="49" t="str">
        <x:v>operating FY2024</x:v>
      </x:c>
      <x:c r="L28" s="49" t="str">
        <x:v>PF_shared</x:v>
      </x:c>
      <x:c r="M28" s="50" t="n">
        <x:v>6.5</x:v>
      </x:c>
      <x:c r="N28" s="49" t="str">
        <x:v>dimensionless</x:v>
      </x:c>
      <x:c r="O28" s="49" t="str">
        <x:v>4.30 x 1.5</x:v>
      </x:c>
      <x:c r="P28" s="49" t="str">
        <x:v>dimensionless</x:v>
      </x:c>
      <x:c r="Q28" s="51" t="str">
        <x:v>T</x:v>
      </x:c>
      <x:c r="R28" s="49" t="str">
        <x:v>Han et al., Small Bottle, Big Pipe</x:v>
      </x:c>
      <x:c r="S28" s="49" t="n">
        <x:v>2026</x:v>
      </x:c>
      <x:c r="T28" s="49" t="str">
        <x:v>Section 3.1.2</x:v>
      </x:c>
      <x:c r="U28" s="49" t="str">
        <x:v>monthly ratio from West Des Moines plus planning factor</x:v>
      </x:c>
      <x:c r="V28" s="49" t="str">
        <x:v>unknown</x:v>
      </x:c>
      <x:c r="W28" s="49" t="str">
        <x:v>different Iowa facility and utility</x:v>
      </x:c>
      <x:c r="X28" s="49" t="str">
        <x:v>not applicable</x:v>
      </x:c>
      <x:c r="Y28" s="49" t="str">
        <x:v>conditional</x:v>
      </x:c>
      <x:c r="Z28" s="49" t="str">
        <x:v>verified_local</x:v>
      </x:c>
      <x:c r="AA28" s="49"/>
      <x:c r="AB28" s="49"/>
      <x:c r="AC28" s="49"/>
      <x:c r="AD28" s="49" t="str">
        <x:v>conditional_scenario</x:v>
      </x:c>
      <x:c r="AE28" s="49" t="str">
        <x:v>Transferred high planning scenario from a different Iowa facility; retained explicitly as T, not a measured Council Bluffs daily PF.</x:v>
      </x:c>
    </x:row>
    <x:row r="29">
      <x:c r="A29" s="52" t="str">
        <x:v>council_bluffs_ia</x:v>
      </x:c>
      <x:c r="B29" s="52" t="str">
        <x:v>Council Bluffs</x:v>
      </x:c>
      <x:c r="C29" s="52" t="str">
        <x:v>IA</x:v>
      </x:c>
      <x:c r="D29" s="52" t="str">
        <x:v>Google</x:v>
      </x:c>
      <x:c r="E29" s="52" t="str">
        <x:v>council_bluffs_fy2024_combined_nominal_k</x:v>
      </x:c>
      <x:c r="F29" s="52" t="str">
        <x:v>FY2024 campus against reconstructed 30 MGD combined potable-system capacity</x:v>
      </x:c>
      <x:c r="G29" s="52" t="str">
        <x:v>reconstructed_combined_nominal_capacity</x:v>
      </x:c>
      <x:c r="H29" s="52" t="str">
        <x:v>yes</x:v>
      </x:c>
      <x:c r="I29" s="52" t="str">
        <x:v>yes</x:v>
      </x:c>
      <x:c r="J29" s="52" t="str">
        <x:v>campus</x:v>
      </x:c>
      <x:c r="K29" s="52" t="str">
        <x:v>operating FY2024</x:v>
      </x:c>
      <x:c r="L29" s="52" t="str">
        <x:v>K</x:v>
      </x:c>
      <x:c r="M29" s="50" t="n">
        <x:v>30</x:v>
      </x:c>
      <x:c r="N29" s="52" t="str">
        <x:v>MGD</x:v>
      </x:c>
      <x:c r="O29" s="52" t="str">
        <x:v>20 + 10</x:v>
      </x:c>
      <x:c r="P29" s="52" t="str">
        <x:v>MGD</x:v>
      </x:c>
      <x:c r="Q29" s="53" t="str">
        <x:v>R</x:v>
      </x:c>
      <x:c r="R29" s="52" t="str">
        <x:v>Council Bluffs Water Works 2022 Annual Report; HDR Council Point Water Treatment Plant project profile</x:v>
      </x:c>
      <x:c r="S29" s="52" t="n">
        <x:v>2022</x:v>
      </x:c>
      <x:c r="T29" s="52" t="str">
        <x:v>CBWW Annual Report p. 3: Council Point expanded to 10 MGD in 2022; HDR online project profile: Narrows daily output 20 MGD</x:v>
      </x:c>
      <x:c r="U29" s="52" t="str">
        <x:v>current post-2022 reconstructed nominal plant-capacity sum</x:v>
      </x:c>
      <x:c r="V29" s="52" t="str">
        <x:v>municipal potable system</x:v>
      </x:c>
      <x:c r="W29" s="52" t="str">
        <x:v>Council Bluffs Water Works system</x:v>
      </x:c>
      <x:c r="X29" s="52" t="str">
        <x:v>reconstructed combined nominal potable-treatment capacity</x:v>
      </x:c>
      <x:c r="Y29" s="52" t="str">
        <x:v>conditional</x:v>
      </x:c>
      <x:c r="Z29" s="52" t="str">
        <x:v>authoritative_plus_engineering</x:v>
      </x:c>
      <x:c r="AA29" s="52"/>
      <x:c r="AB29" s="52"/>
      <x:c r="AC29" s="52"/>
      <x:c r="AD29" s="52" t="str">
        <x:v>conditional_scenario</x:v>
      </x:c>
      <x:c r="AE29" s="52" t="str">
        <x:v>Reconstructed as 20 MGD Narrows + 10 MGD Council Point; not firm available headroom.</x:v>
      </x:c>
    </x:row>
    <x:row r="30">
      <x:c r="A30" s="49" t="str">
        <x:v>mayes_county_ok</x:v>
      </x:c>
      <x:c r="B30" s="49" t="str">
        <x:v>Mayes County</x:v>
      </x:c>
      <x:c r="C30" s="49" t="str">
        <x:v>OK</x:v>
      </x:c>
      <x:c r="D30" s="49" t="str">
        <x:v>Google</x:v>
      </x:c>
      <x:c r="E30" s="49" t="str">
        <x:v>mayes_fy2024_nominal_k_default_pf</x:v>
      </x:c>
      <x:c r="F30" s="49" t="str">
        <x:v>FY2024 campus against current 50 MGD nominal K with assumed PF</x:v>
      </x:c>
      <x:c r="G30" s="49" t="str">
        <x:v>conditional_nominal_capacity_scenario</x:v>
      </x:c>
      <x:c r="H30" s="49" t="str">
        <x:v>yes</x:v>
      </x:c>
      <x:c r="I30" s="49" t="str">
        <x:v>yes</x:v>
      </x:c>
      <x:c r="J30" s="49" t="str">
        <x:v>campus</x:v>
      </x:c>
      <x:c r="K30" s="49" t="str">
        <x:v>operating FY2024</x:v>
      </x:c>
      <x:c r="L30" s="49" t="str">
        <x:v>W_avg</x:v>
      </x:c>
      <x:c r="M30" s="54" t="n">
        <x:f>O30/366</x:f>
        <x:v>3.028142076502732</x:v>
      </x:c>
      <x:c r="N30" s="49" t="str">
        <x:v>MGD</x:v>
      </x:c>
      <x:c r="O30" s="55" t="n">
        <x:v>1108.3</x:v>
      </x:c>
      <x:c r="P30" s="49" t="str">
        <x:v>Mgal per FY2024</x:v>
      </x:c>
      <x:c r="Q30" s="51" t="str">
        <x:v>R</x:v>
      </x:c>
      <x:c r="R30" s="49" t="str">
        <x:v>Google 2025 Environmental Report</x:v>
      </x:c>
      <x:c r="S30" s="49" t="n">
        <x:v>2025</x:v>
      </x:c>
      <x:c r="T30" s="49" t="str">
        <x:v>page 110</x:v>
      </x:c>
      <x:c r="U30" s="49" t="str">
        <x:v>FY2024 annual actual divided by 366 days</x:v>
      </x:c>
      <x:c r="V30" s="49" t="str">
        <x:v>mixed or unknown</x:v>
      </x:c>
      <x:c r="W30" s="49" t="str">
        <x:v>Mayes County campus</x:v>
      </x:c>
      <x:c r="X30" s="49" t="str">
        <x:v>not applicable</x:v>
      </x:c>
      <x:c r="Y30" s="49" t="str">
        <x:v>conditional</x:v>
      </x:c>
      <x:c r="Z30" s="49" t="str">
        <x:v>verified_local</x:v>
      </x:c>
      <x:c r="AA30" s="49"/>
      <x:c r="AB30" s="49"/>
      <x:c r="AC30" s="49"/>
      <x:c r="AD30" s="49" t="str">
        <x:v>conditional_scenario</x:v>
      </x:c>
      <x:c r="AE30" s="49" t="str">
        <x:v>FY2024 leap-year conversion.</x:v>
      </x:c>
    </x:row>
    <x:row r="31">
      <x:c r="A31" s="52" t="str">
        <x:v>mayes_county_ok</x:v>
      </x:c>
      <x:c r="B31" s="52" t="str">
        <x:v>Mayes County</x:v>
      </x:c>
      <x:c r="C31" s="52" t="str">
        <x:v>OK</x:v>
      </x:c>
      <x:c r="D31" s="52" t="str">
        <x:v>Google</x:v>
      </x:c>
      <x:c r="E31" s="52" t="str">
        <x:v>mayes_fy2024_nominal_k_default_pf</x:v>
      </x:c>
      <x:c r="F31" s="52" t="str">
        <x:v>FY2024 campus against current 50 MGD nominal K with assumed PF</x:v>
      </x:c>
      <x:c r="G31" s="52" t="str">
        <x:v>conditional_nominal_capacity_scenario</x:v>
      </x:c>
      <x:c r="H31" s="52" t="str">
        <x:v>yes</x:v>
      </x:c>
      <x:c r="I31" s="52" t="str">
        <x:v>yes</x:v>
      </x:c>
      <x:c r="J31" s="52" t="str">
        <x:v>campus</x:v>
      </x:c>
      <x:c r="K31" s="52" t="str">
        <x:v>operating FY2024</x:v>
      </x:c>
      <x:c r="L31" s="52" t="str">
        <x:v>C_avg</x:v>
      </x:c>
      <x:c r="M31" s="54" t="n">
        <x:f>O31/366</x:f>
        <x:v>2.2765027322404374</x:v>
      </x:c>
      <x:c r="N31" s="52" t="str">
        <x:v>MGD</x:v>
      </x:c>
      <x:c r="O31" s="55" t="n">
        <x:v>833.2</x:v>
      </x:c>
      <x:c r="P31" s="52" t="str">
        <x:v>Mgal per FY2024</x:v>
      </x:c>
      <x:c r="Q31" s="53" t="str">
        <x:v>R</x:v>
      </x:c>
      <x:c r="R31" s="52" t="str">
        <x:v>Google 2025 Environmental Report</x:v>
      </x:c>
      <x:c r="S31" s="52" t="n">
        <x:v>2025</x:v>
      </x:c>
      <x:c r="T31" s="52" t="str">
        <x:v>page 110</x:v>
      </x:c>
      <x:c r="U31" s="52" t="str">
        <x:v>FY2024 annual actual divided by 366 days</x:v>
      </x:c>
      <x:c r="V31" s="52" t="str">
        <x:v>mixed or unknown</x:v>
      </x:c>
      <x:c r="W31" s="52" t="str">
        <x:v>Mayes County campus</x:v>
      </x:c>
      <x:c r="X31" s="52" t="str">
        <x:v>not applicable</x:v>
      </x:c>
      <x:c r="Y31" s="52" t="str">
        <x:v>conditional</x:v>
      </x:c>
      <x:c r="Z31" s="52" t="str">
        <x:v>verified_local</x:v>
      </x:c>
      <x:c r="AA31" s="52"/>
      <x:c r="AB31" s="52"/>
      <x:c r="AC31" s="52"/>
      <x:c r="AD31" s="52" t="str">
        <x:v>conditional_scenario</x:v>
      </x:c>
      <x:c r="AE31" s="52" t="str">
        <x:v>Same campus and year as withdrawal.</x:v>
      </x:c>
    </x:row>
    <x:row r="32">
      <x:c r="A32" s="49" t="str">
        <x:v>mayes_county_ok</x:v>
      </x:c>
      <x:c r="B32" s="49" t="str">
        <x:v>Mayes County</x:v>
      </x:c>
      <x:c r="C32" s="49" t="str">
        <x:v>OK</x:v>
      </x:c>
      <x:c r="D32" s="49" t="str">
        <x:v>Google</x:v>
      </x:c>
      <x:c r="E32" s="49" t="str">
        <x:v>mayes_fy2024_nominal_k_default_pf</x:v>
      </x:c>
      <x:c r="F32" s="49" t="str">
        <x:v>FY2024 campus against current 50 MGD nominal K with assumed PF</x:v>
      </x:c>
      <x:c r="G32" s="49" t="str">
        <x:v>conditional_nominal_capacity_scenario</x:v>
      </x:c>
      <x:c r="H32" s="49" t="str">
        <x:v>yes</x:v>
      </x:c>
      <x:c r="I32" s="49" t="str">
        <x:v>yes</x:v>
      </x:c>
      <x:c r="J32" s="49" t="str">
        <x:v>campus</x:v>
      </x:c>
      <x:c r="K32" s="49" t="str">
        <x:v>operating FY2024</x:v>
      </x:c>
      <x:c r="L32" s="49" t="str">
        <x:v>PF_shared</x:v>
      </x:c>
      <x:c r="M32" s="50" t="n">
        <x:v>2.5</x:v>
      </x:c>
      <x:c r="N32" s="49" t="str">
        <x:v>dimensionless</x:v>
      </x:c>
      <x:c r="O32" s="49" t="n">
        <x:v>2.5</x:v>
      </x:c>
      <x:c r="P32" s="49" t="str">
        <x:v>dimensionless</x:v>
      </x:c>
      <x:c r="Q32" s="51" t="str">
        <x:v>A</x:v>
      </x:c>
      <x:c r="R32" s="49" t="str">
        <x:v>Author-assumed warm-climate default</x:v>
      </x:c>
      <x:c r="S32" s="49" t="n">
        <x:v>2026</x:v>
      </x:c>
      <x:c r="T32" s="49" t="str">
        <x:v>WCI input documentation</x:v>
      </x:c>
      <x:c r="U32" s="49" t="str">
        <x:v>author-selected planning scenario</x:v>
      </x:c>
      <x:c r="V32" s="49" t="str">
        <x:v>unknown</x:v>
      </x:c>
      <x:c r="W32" s="49" t="str">
        <x:v>not site specific</x:v>
      </x:c>
      <x:c r="X32" s="49" t="str">
        <x:v>not applicable</x:v>
      </x:c>
      <x:c r="Y32" s="49" t="str">
        <x:v>conditional</x:v>
      </x:c>
      <x:c r="Z32" s="49" t="str">
        <x:v>author_assumption</x:v>
      </x:c>
      <x:c r="AA32" s="49"/>
      <x:c r="AB32" s="49"/>
      <x:c r="AC32" s="49"/>
      <x:c r="AD32" s="49" t="str">
        <x:v>conditional_scenario</x:v>
      </x:c>
      <x:c r="AE32" s="49" t="str">
        <x:v>Not an observed Mayes County PF.</x:v>
      </x:c>
    </x:row>
    <x:row r="33">
      <x:c r="A33" s="52" t="str">
        <x:v>mayes_county_ok</x:v>
      </x:c>
      <x:c r="B33" s="52" t="str">
        <x:v>Mayes County</x:v>
      </x:c>
      <x:c r="C33" s="52" t="str">
        <x:v>OK</x:v>
      </x:c>
      <x:c r="D33" s="52" t="str">
        <x:v>Google</x:v>
      </x:c>
      <x:c r="E33" s="52" t="str">
        <x:v>mayes_fy2024_nominal_k_default_pf</x:v>
      </x:c>
      <x:c r="F33" s="52" t="str">
        <x:v>FY2024 campus against current 50 MGD nominal K with assumed PF</x:v>
      </x:c>
      <x:c r="G33" s="52" t="str">
        <x:v>conditional_nominal_capacity_scenario</x:v>
      </x:c>
      <x:c r="H33" s="52" t="str">
        <x:v>yes</x:v>
      </x:c>
      <x:c r="I33" s="52" t="str">
        <x:v>yes</x:v>
      </x:c>
      <x:c r="J33" s="52" t="str">
        <x:v>campus</x:v>
      </x:c>
      <x:c r="K33" s="52" t="str">
        <x:v>operating FY2024</x:v>
      </x:c>
      <x:c r="L33" s="52" t="str">
        <x:v>K</x:v>
      </x:c>
      <x:c r="M33" s="50" t="n">
        <x:v>50</x:v>
      </x:c>
      <x:c r="N33" s="52" t="str">
        <x:v>MGD</x:v>
      </x:c>
      <x:c r="O33" s="52" t="n">
        <x:v>50</x:v>
      </x:c>
      <x:c r="P33" s="52" t="str">
        <x:v>MGD</x:v>
      </x:c>
      <x:c r="Q33" s="53" t="str">
        <x:v>M</x:v>
      </x:c>
      <x:c r="R33" s="52" t="str">
        <x:v>MidAmerica Industrial Park infrastructure page</x:v>
      </x:c>
      <x:c r="S33" s="52" t="n">
        <x:v>2026</x:v>
      </x:c>
      <x:c r="T33" s="52" t="str">
        <x:v>50 MGD total capacity; accessed 13 August 2026</x:v>
      </x:c>
      <x:c r="U33" s="52" t="str">
        <x:v>current total nominal capacity</x:v>
      </x:c>
      <x:c r="V33" s="52" t="str">
        <x:v>Grand Neosho River potable supply</x:v>
      </x:c>
      <x:c r="W33" s="52" t="str">
        <x:v>park system serving Google and other users</x:v>
      </x:c>
      <x:c r="X33" s="52" t="str">
        <x:v>park-owned potable-system nominal capacity</x:v>
      </x:c>
      <x:c r="Y33" s="52" t="str">
        <x:v>conditional</x:v>
      </x:c>
      <x:c r="Z33" s="52" t="str">
        <x:v>authoritative_current</x:v>
      </x:c>
      <x:c r="AA33" s="52"/>
      <x:c r="AB33" s="52"/>
      <x:c r="AC33" s="52"/>
      <x:c r="AD33" s="52" t="str">
        <x:v>conditional_scenario</x:v>
      </x:c>
      <x:c r="AE33" s="52" t="str">
        <x:v>The 32 MGD available-capacity value is not substituted into this nominal-capacity convention.</x:v>
      </x:c>
    </x:row>
    <x:row r="34">
      <x:c r="A34" s="49" t="str">
        <x:v>the_dalles_or</x:v>
      </x:c>
      <x:c r="B34" s="49" t="str">
        <x:v>The Dalles</x:v>
      </x:c>
      <x:c r="C34" s="49" t="str">
        <x:v>OR</x:v>
      </x:c>
      <x:c r="D34" s="49" t="str">
        <x:v>Google</x:v>
      </x:c>
      <x:c r="E34" s="49" t="str">
        <x:v>the_dalles_fy2024_reliable_supply_k</x:v>
      </x:c>
      <x:c r="F34" s="49" t="str">
        <x:v>FY2024 campus against current 8.7 MGD reliable peak-season system supply</x:v>
      </x:c>
      <x:c r="G34" s="49" t="str">
        <x:v>current_reliable_supply_capacity</x:v>
      </x:c>
      <x:c r="H34" s="49" t="str">
        <x:v>yes</x:v>
      </x:c>
      <x:c r="I34" s="49" t="str">
        <x:v>yes</x:v>
      </x:c>
      <x:c r="J34" s="49" t="str">
        <x:v>campus</x:v>
      </x:c>
      <x:c r="K34" s="49" t="str">
        <x:v>operating FY2024</x:v>
      </x:c>
      <x:c r="L34" s="49" t="str">
        <x:v>W_avg</x:v>
      </x:c>
      <x:c r="M34" s="54" t="n">
        <x:f>O34/366</x:f>
        <x:v>1.2598360655737706</x:v>
      </x:c>
      <x:c r="N34" s="49" t="str">
        <x:v>MGD</x:v>
      </x:c>
      <x:c r="O34" s="55" t="n">
        <x:v>461.1</x:v>
      </x:c>
      <x:c r="P34" s="49" t="str">
        <x:v>Mgal per FY2024</x:v>
      </x:c>
      <x:c r="Q34" s="51" t="str">
        <x:v>R</x:v>
      </x:c>
      <x:c r="R34" s="49" t="str">
        <x:v>Google 2025 Environmental Report</x:v>
      </x:c>
      <x:c r="S34" s="49" t="n">
        <x:v>2025</x:v>
      </x:c>
      <x:c r="T34" s="49" t="str">
        <x:v>page 110</x:v>
      </x:c>
      <x:c r="U34" s="49" t="str">
        <x:v>FY2024 annual actual divided by 366 days</x:v>
      </x:c>
      <x:c r="V34" s="49" t="str">
        <x:v>mixed or unknown</x:v>
      </x:c>
      <x:c r="W34" s="49" t="str">
        <x:v>The Dalles campus</x:v>
      </x:c>
      <x:c r="X34" s="49" t="str">
        <x:v>not applicable</x:v>
      </x:c>
      <x:c r="Y34" s="49" t="str">
        <x:v>conditional</x:v>
      </x:c>
      <x:c r="Z34" s="49" t="str">
        <x:v>verified_local</x:v>
      </x:c>
      <x:c r="AA34" s="49"/>
      <x:c r="AB34" s="49"/>
      <x:c r="AC34" s="49"/>
      <x:c r="AD34" s="49" t="str">
        <x:v>conditional_scenario</x:v>
      </x:c>
      <x:c r="AE34" s="49" t="str">
        <x:v>FY2024 leap-year conversion; campus contains two facilities.</x:v>
      </x:c>
    </x:row>
    <x:row r="35">
      <x:c r="A35" s="52" t="str">
        <x:v>the_dalles_or</x:v>
      </x:c>
      <x:c r="B35" s="52" t="str">
        <x:v>The Dalles</x:v>
      </x:c>
      <x:c r="C35" s="52" t="str">
        <x:v>OR</x:v>
      </x:c>
      <x:c r="D35" s="52" t="str">
        <x:v>Google</x:v>
      </x:c>
      <x:c r="E35" s="52" t="str">
        <x:v>the_dalles_fy2024_reliable_supply_k</x:v>
      </x:c>
      <x:c r="F35" s="52" t="str">
        <x:v>FY2024 campus against current 8.7 MGD reliable peak-season system supply</x:v>
      </x:c>
      <x:c r="G35" s="52" t="str">
        <x:v>current_reliable_supply_capacity</x:v>
      </x:c>
      <x:c r="H35" s="52" t="str">
        <x:v>yes</x:v>
      </x:c>
      <x:c r="I35" s="52" t="str">
        <x:v>yes</x:v>
      </x:c>
      <x:c r="J35" s="52" t="str">
        <x:v>campus</x:v>
      </x:c>
      <x:c r="K35" s="52" t="str">
        <x:v>operating FY2024</x:v>
      </x:c>
      <x:c r="L35" s="52" t="str">
        <x:v>C_avg</x:v>
      </x:c>
      <x:c r="M35" s="54" t="n">
        <x:f>O35/366</x:f>
        <x:v>0.9874316939890709</x:v>
      </x:c>
      <x:c r="N35" s="52" t="str">
        <x:v>MGD</x:v>
      </x:c>
      <x:c r="O35" s="55" t="n">
        <x:v>361.4</x:v>
      </x:c>
      <x:c r="P35" s="52" t="str">
        <x:v>Mgal per FY2024</x:v>
      </x:c>
      <x:c r="Q35" s="53" t="str">
        <x:v>R</x:v>
      </x:c>
      <x:c r="R35" s="52" t="str">
        <x:v>Google 2025 Environmental Report</x:v>
      </x:c>
      <x:c r="S35" s="52" t="n">
        <x:v>2025</x:v>
      </x:c>
      <x:c r="T35" s="52" t="str">
        <x:v>page 110</x:v>
      </x:c>
      <x:c r="U35" s="52" t="str">
        <x:v>FY2024 annual actual divided by 366 days</x:v>
      </x:c>
      <x:c r="V35" s="52" t="str">
        <x:v>mixed or unknown</x:v>
      </x:c>
      <x:c r="W35" s="52" t="str">
        <x:v>The Dalles campus</x:v>
      </x:c>
      <x:c r="X35" s="52" t="str">
        <x:v>not applicable</x:v>
      </x:c>
      <x:c r="Y35" s="52" t="str">
        <x:v>conditional</x:v>
      </x:c>
      <x:c r="Z35" s="52" t="str">
        <x:v>verified_local</x:v>
      </x:c>
      <x:c r="AA35" s="52"/>
      <x:c r="AB35" s="52"/>
      <x:c r="AC35" s="52"/>
      <x:c r="AD35" s="52" t="str">
        <x:v>conditional_scenario</x:v>
      </x:c>
      <x:c r="AE35" s="52" t="str">
        <x:v>Same campus and year as withdrawal.</x:v>
      </x:c>
    </x:row>
    <x:row r="36">
      <x:c r="A36" s="49" t="str">
        <x:v>the_dalles_or</x:v>
      </x:c>
      <x:c r="B36" s="49" t="str">
        <x:v>The Dalles</x:v>
      </x:c>
      <x:c r="C36" s="49" t="str">
        <x:v>OR</x:v>
      </x:c>
      <x:c r="D36" s="49" t="str">
        <x:v>Google</x:v>
      </x:c>
      <x:c r="E36" s="49" t="str">
        <x:v>the_dalles_fy2024_reliable_supply_k</x:v>
      </x:c>
      <x:c r="F36" s="49" t="str">
        <x:v>FY2024 campus against current 8.7 MGD reliable peak-season system supply</x:v>
      </x:c>
      <x:c r="G36" s="49" t="str">
        <x:v>current_reliable_supply_capacity</x:v>
      </x:c>
      <x:c r="H36" s="49" t="str">
        <x:v>yes</x:v>
      </x:c>
      <x:c r="I36" s="49" t="str">
        <x:v>yes</x:v>
      </x:c>
      <x:c r="J36" s="49" t="str">
        <x:v>campus</x:v>
      </x:c>
      <x:c r="K36" s="49" t="str">
        <x:v>operating FY2024</x:v>
      </x:c>
      <x:c r="L36" s="49" t="str">
        <x:v>PF_shared</x:v>
      </x:c>
      <x:c r="M36" s="50" t="n">
        <x:v>2.21</x:v>
      </x:c>
      <x:c r="N36" s="49" t="str">
        <x:v>dimensionless</x:v>
      </x:c>
      <x:c r="O36" s="49" t="n">
        <x:v>2.21</x:v>
      </x:c>
      <x:c r="P36" s="49" t="str">
        <x:v>dimensionless</x:v>
      </x:c>
      <x:c r="Q36" s="51" t="str">
        <x:v>R</x:v>
      </x:c>
      <x:c r="R36" s="49" t="str">
        <x:v>Consor Water System Master Plan Update cited in first submission and Han et al.</x:v>
      </x:c>
      <x:c r="S36" s="49" t="n">
        <x:v>2024</x:v>
      </x:c>
      <x:c r="T36" s="49" t="str">
        <x:v>Zone 310</x:v>
      </x:c>
      <x:c r="U36" s="49" t="str">
        <x:v>pressure-zone peaking factor</x:v>
      </x:c>
      <x:c r="V36" s="49" t="str">
        <x:v>unknown</x:v>
      </x:c>
      <x:c r="W36" s="49" t="str">
        <x:v>pressure zone containing campus</x:v>
      </x:c>
      <x:c r="X36" s="49" t="str">
        <x:v>not applicable</x:v>
      </x:c>
      <x:c r="Y36" s="49" t="str">
        <x:v>conditional</x:v>
      </x:c>
      <x:c r="Z36" s="49" t="str">
        <x:v>cited_not_locally_verified</x:v>
      </x:c>
      <x:c r="AA36" s="49"/>
      <x:c r="AB36" s="49"/>
      <x:c r="AC36" s="49"/>
      <x:c r="AD36" s="49" t="str">
        <x:v>conditional_scenario</x:v>
      </x:c>
      <x:c r="AE36" s="49" t="str">
        <x:v>Pressure-zone PF proxy retained as R; not a directly isolated facility peaking factor.</x:v>
      </x:c>
    </x:row>
    <x:row r="37">
      <x:c r="A37" s="52" t="str">
        <x:v>the_dalles_or</x:v>
      </x:c>
      <x:c r="B37" s="52" t="str">
        <x:v>The Dalles</x:v>
      </x:c>
      <x:c r="C37" s="52" t="str">
        <x:v>OR</x:v>
      </x:c>
      <x:c r="D37" s="52" t="str">
        <x:v>Google</x:v>
      </x:c>
      <x:c r="E37" s="52" t="str">
        <x:v>the_dalles_fy2024_reliable_supply_k</x:v>
      </x:c>
      <x:c r="F37" s="52" t="str">
        <x:v>FY2024 campus against current 8.7 MGD reliable peak-season system supply</x:v>
      </x:c>
      <x:c r="G37" s="52" t="str">
        <x:v>current_reliable_supply_capacity</x:v>
      </x:c>
      <x:c r="H37" s="52" t="str">
        <x:v>yes</x:v>
      </x:c>
      <x:c r="I37" s="52" t="str">
        <x:v>yes</x:v>
      </x:c>
      <x:c r="J37" s="52" t="str">
        <x:v>campus</x:v>
      </x:c>
      <x:c r="K37" s="52" t="str">
        <x:v>operating FY2024</x:v>
      </x:c>
      <x:c r="L37" s="52" t="str">
        <x:v>K</x:v>
      </x:c>
      <x:c r="M37" s="50" t="n">
        <x:v>8.7</x:v>
      </x:c>
      <x:c r="N37" s="52" t="str">
        <x:v>MGD</x:v>
      </x:c>
      <x:c r="O37" s="52" t="n">
        <x:v>8.7</x:v>
      </x:c>
      <x:c r="P37" s="52" t="str">
        <x:v>MGD</x:v>
      </x:c>
      <x:c r="Q37" s="53" t="str">
        <x:v>M</x:v>
      </x:c>
      <x:c r="R37" s="52" t="str">
        <x:v>City of The Dalles 2025 Water Management and Conservation Plan</x:v>
      </x:c>
      <x:c r="S37" s="52" t="n">
        <x:v>2025</x:v>
      </x:c>
      <x:c r="T37" s="52" t="str">
        <x:v>Section 5.4, p. 107 of City Council agenda compilation: total current reliable peak-season supply 13.4 cfs (8.7 MGD)</x:v>
      </x:c>
      <x:c r="U37" s="52" t="str">
        <x:v>current reliable peak-season supply</x:v>
      </x:c>
      <x:c r="V37" s="52" t="str">
        <x:v>municipal surface water and groundwater</x:v>
      </x:c>
      <x:c r="W37" s="52" t="str">
        <x:v>City of The Dalles water system</x:v>
      </x:c>
      <x:c r="X37" s="52" t="str">
        <x:v>current reliable peak-season system supply</x:v>
      </x:c>
      <x:c r="Y37" s="52" t="str">
        <x:v>conditional</x:v>
      </x:c>
      <x:c r="Z37" s="52" t="str">
        <x:v>authoritative_current</x:v>
      </x:c>
      <x:c r="AA37" s="52"/>
      <x:c r="AB37" s="52"/>
      <x:c r="AC37" s="52"/>
      <x:c r="AD37" s="52" t="str">
        <x:v>conditional_scenario</x:v>
      </x:c>
      <x:c r="AE37" s="52" t="str">
        <x:v>Directly reported current reliable system supply considering operational constraints; not available headroom.</x:v>
      </x:c>
    </x:row>
    <x:row r="38">
      <x:c r="A38" s="49" t="str">
        <x:v>the_dalles_or</x:v>
      </x:c>
      <x:c r="B38" s="49" t="str">
        <x:v>The Dalles</x:v>
      </x:c>
      <x:c r="C38" s="49" t="str">
        <x:v>OR</x:v>
      </x:c>
      <x:c r="D38" s="49" t="str">
        <x:v>Google</x:v>
      </x:c>
      <x:c r="E38" s="49" t="str">
        <x:v>the_dalles_fy2024_historical_k_proxy</x:v>
      </x:c>
      <x:c r="F38" s="49" t="str">
        <x:v>FY2024 campus against historical 2006 reliable K</x:v>
      </x:c>
      <x:c r="G38" s="49" t="str">
        <x:v>historical_denominator_scenario</x:v>
      </x:c>
      <x:c r="H38" s="49" t="str">
        <x:v>no</x:v>
      </x:c>
      <x:c r="I38" s="49" t="str">
        <x:v>yes</x:v>
      </x:c>
      <x:c r="J38" s="49" t="str">
        <x:v>campus</x:v>
      </x:c>
      <x:c r="K38" s="49" t="str">
        <x:v>operating FY2024</x:v>
      </x:c>
      <x:c r="L38" s="49" t="str">
        <x:v>W_avg</x:v>
      </x:c>
      <x:c r="M38" s="54" t="n">
        <x:f>O38/366</x:f>
        <x:v>1.2598360655737706</x:v>
      </x:c>
      <x:c r="N38" s="49" t="str">
        <x:v>MGD</x:v>
      </x:c>
      <x:c r="O38" s="55" t="n">
        <x:v>461.1</x:v>
      </x:c>
      <x:c r="P38" s="49" t="str">
        <x:v>Mgal per FY2024</x:v>
      </x:c>
      <x:c r="Q38" s="51" t="str">
        <x:v>R</x:v>
      </x:c>
      <x:c r="R38" s="49" t="str">
        <x:v>Google 2025 Environmental Report</x:v>
      </x:c>
      <x:c r="S38" s="49" t="n">
        <x:v>2025</x:v>
      </x:c>
      <x:c r="T38" s="49" t="str">
        <x:v>page 110</x:v>
      </x:c>
      <x:c r="U38" s="49" t="str">
        <x:v>FY2024 annual actual divided by 366 days</x:v>
      </x:c>
      <x:c r="V38" s="49" t="str">
        <x:v>mixed or unknown</x:v>
      </x:c>
      <x:c r="W38" s="49" t="str">
        <x:v>The Dalles campus</x:v>
      </x:c>
      <x:c r="X38" s="49" t="str">
        <x:v>not applicable</x:v>
      </x:c>
      <x:c r="Y38" s="49" t="str">
        <x:v>temporal_mismatch</x:v>
      </x:c>
      <x:c r="Z38" s="49" t="str">
        <x:v>verified_local</x:v>
      </x:c>
      <x:c r="AA38" s="49"/>
      <x:c r="AB38" s="49"/>
      <x:c r="AC38" s="49"/>
      <x:c r="AD38" s="49" t="str">
        <x:v>within_site_scenario_only</x:v>
      </x:c>
      <x:c r="AE38" s="49" t="str">
        <x:v>Current numerator with explicitly historical denominator.</x:v>
      </x:c>
    </x:row>
    <x:row r="39">
      <x:c r="A39" s="52" t="str">
        <x:v>the_dalles_or</x:v>
      </x:c>
      <x:c r="B39" s="52" t="str">
        <x:v>The Dalles</x:v>
      </x:c>
      <x:c r="C39" s="52" t="str">
        <x:v>OR</x:v>
      </x:c>
      <x:c r="D39" s="52" t="str">
        <x:v>Google</x:v>
      </x:c>
      <x:c r="E39" s="52" t="str">
        <x:v>the_dalles_fy2024_historical_k_proxy</x:v>
      </x:c>
      <x:c r="F39" s="52" t="str">
        <x:v>FY2024 campus against historical 2006 reliable K</x:v>
      </x:c>
      <x:c r="G39" s="52" t="str">
        <x:v>historical_denominator_scenario</x:v>
      </x:c>
      <x:c r="H39" s="52" t="str">
        <x:v>no</x:v>
      </x:c>
      <x:c r="I39" s="52" t="str">
        <x:v>yes</x:v>
      </x:c>
      <x:c r="J39" s="52" t="str">
        <x:v>campus</x:v>
      </x:c>
      <x:c r="K39" s="52" t="str">
        <x:v>operating FY2024</x:v>
      </x:c>
      <x:c r="L39" s="52" t="str">
        <x:v>C_avg</x:v>
      </x:c>
      <x:c r="M39" s="54" t="n">
        <x:f>O39/366</x:f>
        <x:v>0.9874316939890709</x:v>
      </x:c>
      <x:c r="N39" s="52" t="str">
        <x:v>MGD</x:v>
      </x:c>
      <x:c r="O39" s="55" t="n">
        <x:v>361.4</x:v>
      </x:c>
      <x:c r="P39" s="52" t="str">
        <x:v>Mgal per FY2024</x:v>
      </x:c>
      <x:c r="Q39" s="53" t="str">
        <x:v>R</x:v>
      </x:c>
      <x:c r="R39" s="52" t="str">
        <x:v>Google 2025 Environmental Report</x:v>
      </x:c>
      <x:c r="S39" s="52" t="n">
        <x:v>2025</x:v>
      </x:c>
      <x:c r="T39" s="52" t="str">
        <x:v>page 110</x:v>
      </x:c>
      <x:c r="U39" s="52" t="str">
        <x:v>FY2024 annual actual divided by 366 days</x:v>
      </x:c>
      <x:c r="V39" s="52" t="str">
        <x:v>mixed or unknown</x:v>
      </x:c>
      <x:c r="W39" s="52" t="str">
        <x:v>The Dalles campus</x:v>
      </x:c>
      <x:c r="X39" s="52" t="str">
        <x:v>not applicable</x:v>
      </x:c>
      <x:c r="Y39" s="52" t="str">
        <x:v>temporal_mismatch</x:v>
      </x:c>
      <x:c r="Z39" s="52" t="str">
        <x:v>verified_local</x:v>
      </x:c>
      <x:c r="AA39" s="52"/>
      <x:c r="AB39" s="52"/>
      <x:c r="AC39" s="52"/>
      <x:c r="AD39" s="52" t="str">
        <x:v>within_site_scenario_only</x:v>
      </x:c>
      <x:c r="AE39" s="52" t="str">
        <x:v>Same campus and year as withdrawal.</x:v>
      </x:c>
    </x:row>
    <x:row r="40">
      <x:c r="A40" s="49" t="str">
        <x:v>the_dalles_or</x:v>
      </x:c>
      <x:c r="B40" s="49" t="str">
        <x:v>The Dalles</x:v>
      </x:c>
      <x:c r="C40" s="49" t="str">
        <x:v>OR</x:v>
      </x:c>
      <x:c r="D40" s="49" t="str">
        <x:v>Google</x:v>
      </x:c>
      <x:c r="E40" s="49" t="str">
        <x:v>the_dalles_fy2024_historical_k_proxy</x:v>
      </x:c>
      <x:c r="F40" s="49" t="str">
        <x:v>FY2024 campus against historical 2006 reliable K</x:v>
      </x:c>
      <x:c r="G40" s="49" t="str">
        <x:v>historical_denominator_scenario</x:v>
      </x:c>
      <x:c r="H40" s="49" t="str">
        <x:v>no</x:v>
      </x:c>
      <x:c r="I40" s="49" t="str">
        <x:v>yes</x:v>
      </x:c>
      <x:c r="J40" s="49" t="str">
        <x:v>campus</x:v>
      </x:c>
      <x:c r="K40" s="49" t="str">
        <x:v>operating FY2024</x:v>
      </x:c>
      <x:c r="L40" s="49" t="str">
        <x:v>PF_shared</x:v>
      </x:c>
      <x:c r="M40" s="50" t="n">
        <x:v>2.21</x:v>
      </x:c>
      <x:c r="N40" s="49" t="str">
        <x:v>dimensionless</x:v>
      </x:c>
      <x:c r="O40" s="49" t="n">
        <x:v>2.21</x:v>
      </x:c>
      <x:c r="P40" s="49" t="str">
        <x:v>dimensionless</x:v>
      </x:c>
      <x:c r="Q40" s="51" t="str">
        <x:v>R</x:v>
      </x:c>
      <x:c r="R40" s="49" t="str">
        <x:v>Consor Water System Master Plan Update cited in first submission and Han et al.</x:v>
      </x:c>
      <x:c r="S40" s="49" t="n">
        <x:v>2024</x:v>
      </x:c>
      <x:c r="T40" s="49" t="str">
        <x:v>Zone 310</x:v>
      </x:c>
      <x:c r="U40" s="49" t="str">
        <x:v>pressure-zone peaking factor</x:v>
      </x:c>
      <x:c r="V40" s="49" t="str">
        <x:v>unknown</x:v>
      </x:c>
      <x:c r="W40" s="49" t="str">
        <x:v>pressure zone containing campus</x:v>
      </x:c>
      <x:c r="X40" s="49" t="str">
        <x:v>not applicable</x:v>
      </x:c>
      <x:c r="Y40" s="49" t="str">
        <x:v>temporal_mismatch</x:v>
      </x:c>
      <x:c r="Z40" s="49" t="str">
        <x:v>cited_not_locally_verified</x:v>
      </x:c>
      <x:c r="AA40" s="49"/>
      <x:c r="AB40" s="49"/>
      <x:c r="AC40" s="49"/>
      <x:c r="AD40" s="49" t="str">
        <x:v>within_site_scenario_only</x:v>
      </x:c>
      <x:c r="AE40" s="49" t="str">
        <x:v>Zone proxy.</x:v>
      </x:c>
    </x:row>
    <x:row r="41">
      <x:c r="A41" s="52" t="str">
        <x:v>the_dalles_or</x:v>
      </x:c>
      <x:c r="B41" s="52" t="str">
        <x:v>The Dalles</x:v>
      </x:c>
      <x:c r="C41" s="52" t="str">
        <x:v>OR</x:v>
      </x:c>
      <x:c r="D41" s="52" t="str">
        <x:v>Google</x:v>
      </x:c>
      <x:c r="E41" s="52" t="str">
        <x:v>the_dalles_fy2024_historical_k_proxy</x:v>
      </x:c>
      <x:c r="F41" s="52" t="str">
        <x:v>FY2024 campus against historical 2006 reliable K</x:v>
      </x:c>
      <x:c r="G41" s="52" t="str">
        <x:v>historical_denominator_scenario</x:v>
      </x:c>
      <x:c r="H41" s="52" t="str">
        <x:v>no</x:v>
      </x:c>
      <x:c r="I41" s="52" t="str">
        <x:v>yes</x:v>
      </x:c>
      <x:c r="J41" s="52" t="str">
        <x:v>campus</x:v>
      </x:c>
      <x:c r="K41" s="52" t="str">
        <x:v>operating FY2024</x:v>
      </x:c>
      <x:c r="L41" s="52" t="str">
        <x:v>K</x:v>
      </x:c>
      <x:c r="M41" s="50" t="n">
        <x:v>4.5</x:v>
      </x:c>
      <x:c r="N41" s="52" t="str">
        <x:v>MGD</x:v>
      </x:c>
      <x:c r="O41" s="52" t="str">
        <x:v>3.4 + 1.1</x:v>
      </x:c>
      <x:c r="P41" s="52" t="str">
        <x:v>MGD</x:v>
      </x:c>
      <x:c r="Q41" s="53" t="str">
        <x:v>M</x:v>
      </x:c>
      <x:c r="R41" s="52" t="str">
        <x:v>City of The Dalles 2006 Water System Master Plan</x:v>
      </x:c>
      <x:c r="S41" s="52" t="n">
        <x:v>2006</x:v>
      </x:c>
      <x:c r="T41" s="52" t="str">
        <x:v>3.4 MGD Wicks WTP plus 1.1 MGD reliable groundwater</x:v>
      </x:c>
      <x:c r="U41" s="52" t="str">
        <x:v>historical reliable supply</x:v>
      </x:c>
      <x:c r="V41" s="52" t="str">
        <x:v>municipal surface water and groundwater</x:v>
      </x:c>
      <x:c r="W41" s="52" t="str">
        <x:v>City of The Dalles system</x:v>
      </x:c>
      <x:c r="X41" s="52" t="str">
        <x:v>historical reliable supply</x:v>
      </x:c>
      <x:c r="Y41" s="52" t="str">
        <x:v>temporal_mismatch</x:v>
      </x:c>
      <x:c r="Z41" s="52" t="str">
        <x:v>authoritative_historical</x:v>
      </x:c>
      <x:c r="AA41" s="52"/>
      <x:c r="AB41" s="52"/>
      <x:c r="AC41" s="52"/>
      <x:c r="AD41" s="52" t="str">
        <x:v>within_site_scenario_only</x:v>
      </x:c>
      <x:c r="AE41" s="52" t="str">
        <x:v>Not a verified current 2026 capacity.</x:v>
      </x:c>
    </x:row>
    <x:row r="42">
      <x:c r="A42" s="49" t="str">
        <x:v>douglas_county_ga</x:v>
      </x:c>
      <x:c r="B42" s="49" t="str">
        <x:v>Douglas County</x:v>
      </x:c>
      <x:c r="C42" s="49" t="str">
        <x:v>GA</x:v>
      </x:c>
      <x:c r="D42" s="49" t="str">
        <x:v>Google</x:v>
      </x:c>
      <x:c r="E42" s="49" t="str">
        <x:v>douglas_combined_boundary_indeterminate</x:v>
      </x:c>
      <x:c r="F42" s="49" t="str">
        <x:v>FY2024 combined campus water with no matched combined K</x:v>
      </x:c>
      <x:c r="G42" s="49" t="str">
        <x:v>boundary_indeterminate</x:v>
      </x:c>
      <x:c r="H42" s="49" t="str">
        <x:v>no</x:v>
      </x:c>
      <x:c r="I42" s="49" t="str">
        <x:v>no</x:v>
      </x:c>
      <x:c r="J42" s="49" t="str">
        <x:v>campus</x:v>
      </x:c>
      <x:c r="K42" s="49" t="str">
        <x:v>operating FY2024</x:v>
      </x:c>
      <x:c r="L42" s="49" t="str">
        <x:v>W_avg</x:v>
      </x:c>
      <x:c r="M42" s="54" t="n">
        <x:f>O42/366</x:f>
        <x:v>1.2133879781420767</x:v>
      </x:c>
      <x:c r="N42" s="49" t="str">
        <x:v>MGD</x:v>
      </x:c>
      <x:c r="O42" s="55" t="n">
        <x:v>444.1</x:v>
      </x:c>
      <x:c r="P42" s="49" t="str">
        <x:v>Mgal per FY2024</x:v>
      </x:c>
      <x:c r="Q42" s="51" t="str">
        <x:v>R</x:v>
      </x:c>
      <x:c r="R42" s="49" t="str">
        <x:v>Google 2025 Environmental Report</x:v>
      </x:c>
      <x:c r="S42" s="49" t="n">
        <x:v>2025</x:v>
      </x:c>
      <x:c r="T42" s="49" t="str">
        <x:v>page 110</x:v>
      </x:c>
      <x:c r="U42" s="49" t="str">
        <x:v>FY2024 annual actual divided by 366 days</x:v>
      </x:c>
      <x:c r="V42" s="49" t="str">
        <x:v>7.4 Mgal potable plus 436.7 Mgal reclaimed</x:v>
      </x:c>
      <x:c r="W42" s="49" t="str">
        <x:v>Douglas County campus</x:v>
      </x:c>
      <x:c r="X42" s="49" t="str">
        <x:v>not applicable</x:v>
      </x:c>
      <x:c r="Y42" s="49" t="str">
        <x:v>fail</x:v>
      </x:c>
      <x:c r="Z42" s="49" t="str">
        <x:v>verified_local</x:v>
      </x:c>
      <x:c r="AA42" s="49"/>
      <x:c r="AB42" s="49"/>
      <x:c r="AC42" s="49"/>
      <x:c r="AD42" s="49" t="str">
        <x:v>not_admissible</x:v>
      </x:c>
      <x:c r="AE42" s="49" t="str">
        <x:v>Combined withdrawal mixes water pathways.</x:v>
      </x:c>
    </x:row>
    <x:row r="43">
      <x:c r="A43" s="52" t="str">
        <x:v>douglas_county_ga</x:v>
      </x:c>
      <x:c r="B43" s="52" t="str">
        <x:v>Douglas County</x:v>
      </x:c>
      <x:c r="C43" s="52" t="str">
        <x:v>GA</x:v>
      </x:c>
      <x:c r="D43" s="52" t="str">
        <x:v>Google</x:v>
      </x:c>
      <x:c r="E43" s="52" t="str">
        <x:v>douglas_combined_boundary_indeterminate</x:v>
      </x:c>
      <x:c r="F43" s="52" t="str">
        <x:v>FY2024 combined campus water with no matched combined K</x:v>
      </x:c>
      <x:c r="G43" s="52" t="str">
        <x:v>boundary_indeterminate</x:v>
      </x:c>
      <x:c r="H43" s="52" t="str">
        <x:v>no</x:v>
      </x:c>
      <x:c r="I43" s="52" t="str">
        <x:v>no</x:v>
      </x:c>
      <x:c r="J43" s="52" t="str">
        <x:v>campus</x:v>
      </x:c>
      <x:c r="K43" s="52" t="str">
        <x:v>operating FY2024</x:v>
      </x:c>
      <x:c r="L43" s="52" t="str">
        <x:v>C_avg</x:v>
      </x:c>
      <x:c r="M43" s="54" t="n">
        <x:f>O43/366</x:f>
        <x:v>1.0024590163934426</x:v>
      </x:c>
      <x:c r="N43" s="52" t="str">
        <x:v>MGD</x:v>
      </x:c>
      <x:c r="O43" s="55" t="n">
        <x:v>366.9</x:v>
      </x:c>
      <x:c r="P43" s="52" t="str">
        <x:v>Mgal per FY2024</x:v>
      </x:c>
      <x:c r="Q43" s="53" t="str">
        <x:v>R</x:v>
      </x:c>
      <x:c r="R43" s="52" t="str">
        <x:v>Google 2025 Environmental Report</x:v>
      </x:c>
      <x:c r="S43" s="52" t="n">
        <x:v>2025</x:v>
      </x:c>
      <x:c r="T43" s="52" t="str">
        <x:v>page 110</x:v>
      </x:c>
      <x:c r="U43" s="52" t="str">
        <x:v>FY2024 annual actual divided by 366 days</x:v>
      </x:c>
      <x:c r="V43" s="52" t="str">
        <x:v>mixed, not allocated by source</x:v>
      </x:c>
      <x:c r="W43" s="52" t="str">
        <x:v>Douglas County campus</x:v>
      </x:c>
      <x:c r="X43" s="52" t="str">
        <x:v>not applicable</x:v>
      </x:c>
      <x:c r="Y43" s="52" t="str">
        <x:v>fail</x:v>
      </x:c>
      <x:c r="Z43" s="52" t="str">
        <x:v>verified_local</x:v>
      </x:c>
      <x:c r="AA43" s="52"/>
      <x:c r="AB43" s="52"/>
      <x:c r="AC43" s="52"/>
      <x:c r="AD43" s="52" t="str">
        <x:v>not_admissible</x:v>
      </x:c>
      <x:c r="AE43" s="52" t="str">
        <x:v>Source-specific consumption is unavailable.</x:v>
      </x:c>
    </x:row>
    <x:row r="44">
      <x:c r="A44" s="49" t="str">
        <x:v>douglas_county_ga</x:v>
      </x:c>
      <x:c r="B44" s="49" t="str">
        <x:v>Douglas County</x:v>
      </x:c>
      <x:c r="C44" s="49" t="str">
        <x:v>GA</x:v>
      </x:c>
      <x:c r="D44" s="49" t="str">
        <x:v>Google</x:v>
      </x:c>
      <x:c r="E44" s="49" t="str">
        <x:v>douglas_combined_boundary_indeterminate</x:v>
      </x:c>
      <x:c r="F44" s="49" t="str">
        <x:v>FY2024 combined campus water with no matched combined K</x:v>
      </x:c>
      <x:c r="G44" s="49" t="str">
        <x:v>boundary_indeterminate</x:v>
      </x:c>
      <x:c r="H44" s="49" t="str">
        <x:v>no</x:v>
      </x:c>
      <x:c r="I44" s="49" t="str">
        <x:v>no</x:v>
      </x:c>
      <x:c r="J44" s="49" t="str">
        <x:v>campus</x:v>
      </x:c>
      <x:c r="K44" s="49" t="str">
        <x:v>operating FY2024</x:v>
      </x:c>
      <x:c r="L44" s="49" t="str">
        <x:v>PF_shared</x:v>
      </x:c>
      <x:c r="M44" s="50" t="n">
        <x:v>2.5</x:v>
      </x:c>
      <x:c r="N44" s="49" t="str">
        <x:v>dimensionless</x:v>
      </x:c>
      <x:c r="O44" s="49" t="n">
        <x:v>2.5</x:v>
      </x:c>
      <x:c r="P44" s="49" t="str">
        <x:v>dimensionless</x:v>
      </x:c>
      <x:c r="Q44" s="51" t="str">
        <x:v>A</x:v>
      </x:c>
      <x:c r="R44" s="49" t="str">
        <x:v>Author-assumed warm-climate default</x:v>
      </x:c>
      <x:c r="S44" s="49" t="n">
        <x:v>2026</x:v>
      </x:c>
      <x:c r="T44" s="49" t="str">
        <x:v>WCI input documentation</x:v>
      </x:c>
      <x:c r="U44" s="49" t="str">
        <x:v>author-selected planning scenario</x:v>
      </x:c>
      <x:c r="V44" s="49" t="str">
        <x:v>unknown</x:v>
      </x:c>
      <x:c r="W44" s="49" t="str">
        <x:v>not site specific</x:v>
      </x:c>
      <x:c r="X44" s="49" t="str">
        <x:v>not applicable</x:v>
      </x:c>
      <x:c r="Y44" s="49" t="str">
        <x:v>fail</x:v>
      </x:c>
      <x:c r="Z44" s="49" t="str">
        <x:v>author_assumption</x:v>
      </x:c>
      <x:c r="AA44" s="49"/>
      <x:c r="AB44" s="49"/>
      <x:c r="AC44" s="49"/>
      <x:c r="AD44" s="49" t="str">
        <x:v>not_admissible</x:v>
      </x:c>
      <x:c r="AE44" s="49" t="str">
        <x:v>No site-specific peak evidence.</x:v>
      </x:c>
    </x:row>
    <x:row r="45">
      <x:c r="A45" s="52" t="str">
        <x:v>douglas_county_ga</x:v>
      </x:c>
      <x:c r="B45" s="52" t="str">
        <x:v>Douglas County</x:v>
      </x:c>
      <x:c r="C45" s="52" t="str">
        <x:v>GA</x:v>
      </x:c>
      <x:c r="D45" s="52" t="str">
        <x:v>Google</x:v>
      </x:c>
      <x:c r="E45" s="52" t="str">
        <x:v>douglas_combined_boundary_indeterminate</x:v>
      </x:c>
      <x:c r="F45" s="52" t="str">
        <x:v>FY2024 combined campus water with no matched combined K</x:v>
      </x:c>
      <x:c r="G45" s="52" t="str">
        <x:v>boundary_indeterminate</x:v>
      </x:c>
      <x:c r="H45" s="52" t="str">
        <x:v>no</x:v>
      </x:c>
      <x:c r="I45" s="52" t="str">
        <x:v>no</x:v>
      </x:c>
      <x:c r="J45" s="52" t="str">
        <x:v>campus</x:v>
      </x:c>
      <x:c r="K45" s="52" t="str">
        <x:v>operating FY2024</x:v>
      </x:c>
      <x:c r="L45" s="52" t="str">
        <x:v>K</x:v>
      </x:c>
      <x:c r="M45" s="50"/>
      <x:c r="N45" s="52" t="str">
        <x:v>MGD</x:v>
      </x:c>
      <x:c r="O45" s="52"/>
      <x:c r="P45" s="52" t="str">
        <x:v>MGD</x:v>
      </x:c>
      <x:c r="Q45" s="53" t="str">
        <x:v>U</x:v>
      </x:c>
      <x:c r="R45" s="52" t="str">
        <x:v>DDCWSA FY2024 record separates reclaimed and potable capacities</x:v>
      </x:c>
      <x:c r="S45" s="52" t="n">
        <x:v>2024</x:v>
      </x:c>
      <x:c r="T45" s="52" t="str">
        <x:v>no verified combined denominator</x:v>
      </x:c>
      <x:c r="U45" s="52" t="str">
        <x:v>unresolved combined capacity</x:v>
      </x:c>
      <x:c r="V45" s="52" t="str">
        <x:v>mixed</x:v>
      </x:c>
      <x:c r="W45" s="52" t="str">
        <x:v>multiple utility subsystems</x:v>
      </x:c>
      <x:c r="X45" s="52" t="str">
        <x:v>unresolved combined capacity</x:v>
      </x:c>
      <x:c r="Y45" s="52" t="str">
        <x:v>fail</x:v>
      </x:c>
      <x:c r="Z45" s="52" t="str">
        <x:v>unresolved</x:v>
      </x:c>
      <x:c r="AA45" s="52"/>
      <x:c r="AB45" s="52"/>
      <x:c r="AC45" s="52"/>
      <x:c r="AD45" s="52" t="str">
        <x:v>not_admissible</x:v>
      </x:c>
      <x:c r="AE45" s="52" t="str">
        <x:v>Combined-campus WCI/PDLR remain NA; primary comparison is the matched reclaimed-water pathway.</x:v>
      </x:c>
    </x:row>
    <x:row r="46">
      <x:c r="A46" s="49" t="str">
        <x:v>douglas_county_ga</x:v>
      </x:c>
      <x:c r="B46" s="49" t="str">
        <x:v>Douglas County</x:v>
      </x:c>
      <x:c r="C46" s="49" t="str">
        <x:v>GA</x:v>
      </x:c>
      <x:c r="D46" s="49" t="str">
        <x:v>Google</x:v>
      </x:c>
      <x:c r="E46" s="49" t="str">
        <x:v>douglas_reclaimed_subsystem_wci_pdlr</x:v>
      </x:c>
      <x:c r="F46" s="49" t="str">
        <x:v>FY2024 reclaimed-water pathway against 3 MGD reclaimed subsystem K</x:v>
      </x:c>
      <x:c r="G46" s="49" t="str">
        <x:v>reclaimed_pathway_primary_scenario</x:v>
      </x:c>
      <x:c r="H46" s="49" t="str">
        <x:v>yes</x:v>
      </x:c>
      <x:c r="I46" s="49" t="str">
        <x:v>yes</x:v>
      </x:c>
      <x:c r="J46" s="49" t="str">
        <x:v>campus reclaimed stream</x:v>
      </x:c>
      <x:c r="K46" s="49" t="str">
        <x:v>operating FY2024</x:v>
      </x:c>
      <x:c r="L46" s="49" t="str">
        <x:v>W_avg</x:v>
      </x:c>
      <x:c r="M46" s="54" t="n">
        <x:f>O46/366</x:f>
        <x:v>1.1931693989071037</x:v>
      </x:c>
      <x:c r="N46" s="49" t="str">
        <x:v>MGD</x:v>
      </x:c>
      <x:c r="O46" s="55" t="n">
        <x:v>436.7</x:v>
      </x:c>
      <x:c r="P46" s="49" t="str">
        <x:v>Mgal per FY2024</x:v>
      </x:c>
      <x:c r="Q46" s="51" t="str">
        <x:v>R</x:v>
      </x:c>
      <x:c r="R46" s="49" t="str">
        <x:v>Google 2025 Environmental Report</x:v>
      </x:c>
      <x:c r="S46" s="49" t="n">
        <x:v>2025</x:v>
      </x:c>
      <x:c r="T46" s="49" t="str">
        <x:v>page 110</x:v>
      </x:c>
      <x:c r="U46" s="49" t="str">
        <x:v>FY2024 annual actual divided by 366 days</x:v>
      </x:c>
      <x:c r="V46" s="49" t="str">
        <x:v>reclaimed</x:v>
      </x:c>
      <x:c r="W46" s="49" t="str">
        <x:v>Douglas County campus reclaimed stream</x:v>
      </x:c>
      <x:c r="X46" s="49" t="str">
        <x:v>not applicable</x:v>
      </x:c>
      <x:c r="Y46" s="49" t="str">
        <x:v>conditional</x:v>
      </x:c>
      <x:c r="Z46" s="49" t="str">
        <x:v>verified_local</x:v>
      </x:c>
      <x:c r="AA46" s="49"/>
      <x:c r="AB46" s="49"/>
      <x:c r="AC46" s="49"/>
      <x:c r="AD46" s="49" t="str">
        <x:v>conditional_scenario</x:v>
      </x:c>
      <x:c r="AE46" s="49" t="str">
        <x:v>Reclaimed withdrawal is source specific.</x:v>
      </x:c>
    </x:row>
    <x:row r="47">
      <x:c r="A47" s="52" t="str">
        <x:v>douglas_county_ga</x:v>
      </x:c>
      <x:c r="B47" s="52" t="str">
        <x:v>Douglas County</x:v>
      </x:c>
      <x:c r="C47" s="52" t="str">
        <x:v>GA</x:v>
      </x:c>
      <x:c r="D47" s="52" t="str">
        <x:v>Google</x:v>
      </x:c>
      <x:c r="E47" s="52" t="str">
        <x:v>douglas_reclaimed_subsystem_wci_pdlr</x:v>
      </x:c>
      <x:c r="F47" s="52" t="str">
        <x:v>FY2024 reclaimed-water pathway against 3 MGD reclaimed subsystem K</x:v>
      </x:c>
      <x:c r="G47" s="52" t="str">
        <x:v>reclaimed_pathway_primary_scenario</x:v>
      </x:c>
      <x:c r="H47" s="52" t="str">
        <x:v>yes</x:v>
      </x:c>
      <x:c r="I47" s="52" t="str">
        <x:v>yes</x:v>
      </x:c>
      <x:c r="J47" s="52" t="str">
        <x:v>campus reclaimed stream</x:v>
      </x:c>
      <x:c r="K47" s="52" t="str">
        <x:v>operating FY2024</x:v>
      </x:c>
      <x:c r="L47" s="52" t="str">
        <x:v>r_avg</x:v>
      </x:c>
      <x:c r="M47" s="50" t="n">
        <x:v>0.8261652780905201</x:v>
      </x:c>
      <x:c r="N47" s="52" t="str">
        <x:v>dimensionless</x:v>
      </x:c>
      <x:c r="O47" s="52" t="str">
        <x:v>366.9 / 444.1</x:v>
      </x:c>
      <x:c r="P47" s="52" t="str">
        <x:v>dimensionless</x:v>
      </x:c>
      <x:c r="Q47" s="53" t="str">
        <x:v>T</x:v>
      </x:c>
      <x:c r="R47" s="52" t="str">
        <x:v>Google 2025 Environmental Report</x:v>
      </x:c>
      <x:c r="S47" s="52" t="n">
        <x:v>2025</x:v>
      </x:c>
      <x:c r="T47" s="52" t="str">
        <x:v>page 110; FY2024 Douglas County total consumption divided by total withdrawal</x:v>
      </x:c>
      <x:c r="U47" s="52" t="str">
        <x:v>FY2024 campus-wide ratio transferred within the same campus to the reclaimed stream</x:v>
      </x:c>
      <x:c r="V47" s="52" t="str">
        <x:v>campus-wide mixed ratio used as within-campus proxy for reclaimed stream</x:v>
      </x:c>
      <x:c r="W47" s="52" t="str">
        <x:v>Douglas County campus; transferred to reclaimed pathway</x:v>
      </x:c>
      <x:c r="X47" s="52" t="str">
        <x:v>not applicable</x:v>
      </x:c>
      <x:c r="Y47" s="52" t="str">
        <x:v>conditional</x:v>
      </x:c>
      <x:c r="Z47" s="52" t="str">
        <x:v>verified_local_proxy</x:v>
      </x:c>
      <x:c r="AA47" s="52"/>
      <x:c r="AB47" s="52"/>
      <x:c r="AC47" s="52" t="str">
        <x:v>see results/douglas_reclaimed_allocation_bound.csv</x:v>
      </x:c>
      <x:c r="AD47" s="52" t="str">
        <x:v>conditional_scenario</x:v>
      </x:c>
      <x:c r="AE47" s="52" t="str">
        <x:v>Within-campus point proxy; reported totals separately give a deterministic reclaimed-source allocation bound r=0.8232--0.8402 with PF and K fixed. Generic low/high fields remain blank because this is not a complete empirical input range.</x:v>
      </x:c>
    </x:row>
    <x:row r="48">
      <x:c r="A48" s="49" t="str">
        <x:v>douglas_county_ga</x:v>
      </x:c>
      <x:c r="B48" s="49" t="str">
        <x:v>Douglas County</x:v>
      </x:c>
      <x:c r="C48" s="49" t="str">
        <x:v>GA</x:v>
      </x:c>
      <x:c r="D48" s="49" t="str">
        <x:v>Google</x:v>
      </x:c>
      <x:c r="E48" s="49" t="str">
        <x:v>douglas_reclaimed_subsystem_wci_pdlr</x:v>
      </x:c>
      <x:c r="F48" s="49" t="str">
        <x:v>FY2024 reclaimed-water pathway against 3 MGD reclaimed subsystem K</x:v>
      </x:c>
      <x:c r="G48" s="49" t="str">
        <x:v>reclaimed_pathway_primary_scenario</x:v>
      </x:c>
      <x:c r="H48" s="49" t="str">
        <x:v>yes</x:v>
      </x:c>
      <x:c r="I48" s="49" t="str">
        <x:v>yes</x:v>
      </x:c>
      <x:c r="J48" s="49" t="str">
        <x:v>campus reclaimed stream</x:v>
      </x:c>
      <x:c r="K48" s="49" t="str">
        <x:v>operating FY2024</x:v>
      </x:c>
      <x:c r="L48" s="49" t="str">
        <x:v>PF_shared</x:v>
      </x:c>
      <x:c r="M48" s="50" t="n">
        <x:v>2.5</x:v>
      </x:c>
      <x:c r="N48" s="49" t="str">
        <x:v>dimensionless</x:v>
      </x:c>
      <x:c r="O48" s="49" t="n">
        <x:v>2.5</x:v>
      </x:c>
      <x:c r="P48" s="49" t="str">
        <x:v>dimensionless</x:v>
      </x:c>
      <x:c r="Q48" s="51" t="str">
        <x:v>A</x:v>
      </x:c>
      <x:c r="R48" s="49" t="str">
        <x:v>Author-assumed warm-climate default</x:v>
      </x:c>
      <x:c r="S48" s="49" t="n">
        <x:v>2026</x:v>
      </x:c>
      <x:c r="T48" s="49" t="str">
        <x:v>WCI input documentation</x:v>
      </x:c>
      <x:c r="U48" s="49" t="str">
        <x:v>author-selected planning scenario</x:v>
      </x:c>
      <x:c r="V48" s="49" t="str">
        <x:v>reclaimed</x:v>
      </x:c>
      <x:c r="W48" s="49" t="str">
        <x:v>not site specific</x:v>
      </x:c>
      <x:c r="X48" s="49" t="str">
        <x:v>not applicable</x:v>
      </x:c>
      <x:c r="Y48" s="49" t="str">
        <x:v>conditional</x:v>
      </x:c>
      <x:c r="Z48" s="49" t="str">
        <x:v>author_assumption</x:v>
      </x:c>
      <x:c r="AA48" s="49"/>
      <x:c r="AB48" s="49"/>
      <x:c r="AC48" s="49"/>
      <x:c r="AD48" s="49" t="str">
        <x:v>conditional_scenario</x:v>
      </x:c>
      <x:c r="AE48" s="49" t="str">
        <x:v>Author-assumed warm-climate PF retained as A; not a measured site PF.</x:v>
      </x:c>
    </x:row>
    <x:row r="49">
      <x:c r="A49" s="52" t="str">
        <x:v>douglas_county_ga</x:v>
      </x:c>
      <x:c r="B49" s="52" t="str">
        <x:v>Douglas County</x:v>
      </x:c>
      <x:c r="C49" s="52" t="str">
        <x:v>GA</x:v>
      </x:c>
      <x:c r="D49" s="52" t="str">
        <x:v>Google</x:v>
      </x:c>
      <x:c r="E49" s="52" t="str">
        <x:v>douglas_reclaimed_subsystem_wci_pdlr</x:v>
      </x:c>
      <x:c r="F49" s="52" t="str">
        <x:v>FY2024 reclaimed-water pathway against 3 MGD reclaimed subsystem K</x:v>
      </x:c>
      <x:c r="G49" s="52" t="str">
        <x:v>reclaimed_pathway_primary_scenario</x:v>
      </x:c>
      <x:c r="H49" s="52" t="str">
        <x:v>yes</x:v>
      </x:c>
      <x:c r="I49" s="52" t="str">
        <x:v>yes</x:v>
      </x:c>
      <x:c r="J49" s="52" t="str">
        <x:v>campus reclaimed stream</x:v>
      </x:c>
      <x:c r="K49" s="52" t="str">
        <x:v>operating FY2024</x:v>
      </x:c>
      <x:c r="L49" s="52" t="str">
        <x:v>K</x:v>
      </x:c>
      <x:c r="M49" s="50" t="n">
        <x:v>3</x:v>
      </x:c>
      <x:c r="N49" s="52" t="str">
        <x:v>MGD</x:v>
      </x:c>
      <x:c r="O49" s="52" t="n">
        <x:v>3</x:v>
      </x:c>
      <x:c r="P49" s="52" t="str">
        <x:v>MGD</x:v>
      </x:c>
      <x:c r="Q49" s="53" t="str">
        <x:v>M</x:v>
      </x:c>
      <x:c r="R49" s="52" t="str">
        <x:v>DDCWSA FY2024 Annual Comprehensive Financial Report</x:v>
      </x:c>
      <x:c r="S49" s="52" t="n">
        <x:v>2024</x:v>
      </x:c>
      <x:c r="T49" s="52" t="str">
        <x:v>Report p. 9: 3.0 MGD side-stream reclaimed facility supplying cooling-tower make-up water to a large data-processing center</x:v>
      </x:c>
      <x:c r="U49" s="52" t="str">
        <x:v>current reclaimed-subsystem nominal capacity</x:v>
      </x:c>
      <x:c r="V49" s="52" t="str">
        <x:v>reclaimed effluent</x:v>
      </x:c>
      <x:c r="W49" s="52" t="str">
        <x:v>Sweetwater Creek reclaimed subsystem</x:v>
      </x:c>
      <x:c r="X49" s="52" t="str">
        <x:v>reclaimed-subsystem nominal capacity</x:v>
      </x:c>
      <x:c r="Y49" s="52" t="str">
        <x:v>conditional</x:v>
      </x:c>
      <x:c r="Z49" s="52" t="str">
        <x:v>authoritative_current</x:v>
      </x:c>
      <x:c r="AA49" s="52"/>
      <x:c r="AB49" s="52"/>
      <x:c r="AC49" s="52"/>
      <x:c r="AD49" s="52" t="str">
        <x:v>conditional_scenario</x:v>
      </x:c>
      <x:c r="AE49" s="52" t="str">
        <x:v>Reported 3.0 MGD side-stream reclaimed facility serving the data-processing center; used only with the reclaimed-water numerator.</x:v>
      </x:c>
    </x:row>
    <x:row r="50">
      <x:c r="A50" s="49" t="str">
        <x:v>wisconsin_mount_pleasant_wi</x:v>
      </x:c>
      <x:c r="B50" s="49" t="str">
        <x:v>Wisconsin site</x:v>
      </x:c>
      <x:c r="C50" s="49" t="str">
        <x:v>WI</x:v>
      </x:c>
      <x:c r="D50" s="49" t="str">
        <x:v>Microsoft</x:v>
      </x:c>
      <x:c r="E50" s="49" t="str">
        <x:v>wisconsin_40_mgd_2021_context</x:v>
      </x:c>
      <x:c r="F50" s="49" t="str">
        <x:v>Planned peak against 40 MGD Racine system capacity in 2021 context</x:v>
      </x:c>
      <x:c r="G50" s="49" t="str">
        <x:v>conditional_historical_context_scenario</x:v>
      </x:c>
      <x:c r="H50" s="49" t="str">
        <x:v>yes</x:v>
      </x:c>
      <x:c r="I50" s="49" t="str">
        <x:v>yes</x:v>
      </x:c>
      <x:c r="J50" s="49" t="str">
        <x:v>planned facility or campus</x:v>
      </x:c>
      <x:c r="K50" s="49" t="str">
        <x:v>planned or ramping</x:v>
      </x:c>
      <x:c r="L50" s="49" t="str">
        <x:v>W_avg</x:v>
      </x:c>
      <x:c r="M50" s="50" t="n">
        <x:v>0.023013698630137</x:v>
      </x:c>
      <x:c r="N50" s="49" t="str">
        <x:v>MGD</x:v>
      </x:c>
      <x:c r="O50" s="49" t="n">
        <x:v>8.4</x:v>
      </x:c>
      <x:c r="P50" s="49" t="str">
        <x:v>Mgal per year</x:v>
      </x:c>
      <x:c r="Q50" s="51" t="str">
        <x:v>R</x:v>
      </x:c>
      <x:c r="R50" s="49" t="str">
        <x:v>Wisconsin Public Radio reporting summarized in retained evidence</x:v>
      </x:c>
      <x:c r="S50" s="49" t="n">
        <x:v>2025</x:v>
      </x:c>
      <x:c r="T50" s="49" t="str">
        <x:v>annual planned water envelope</x:v>
      </x:c>
      <x:c r="U50" s="49" t="str">
        <x:v>annual planned envelope divided by 365 days</x:v>
      </x:c>
      <x:c r="V50" s="49" t="str">
        <x:v>unknown</x:v>
      </x:c>
      <x:c r="W50" s="49" t="str">
        <x:v>Mount Pleasant or Racine development</x:v>
      </x:c>
      <x:c r="X50" s="49" t="str">
        <x:v>not applicable</x:v>
      </x:c>
      <x:c r="Y50" s="49" t="str">
        <x:v>conditional</x:v>
      </x:c>
      <x:c r="Z50" s="49" t="str">
        <x:v>secondary_source</x:v>
      </x:c>
      <x:c r="AA50" s="49"/>
      <x:c r="AB50" s="49"/>
      <x:c r="AC50" s="49"/>
      <x:c r="AD50" s="49" t="str">
        <x:v>conditional_confirmation_pending</x:v>
      </x:c>
      <x:c r="AE50" s="49" t="str">
        <x:v>Not a long operational time series.</x:v>
      </x:c>
    </x:row>
    <x:row r="51">
      <x:c r="A51" s="52" t="str">
        <x:v>wisconsin_mount_pleasant_wi</x:v>
      </x:c>
      <x:c r="B51" s="52" t="str">
        <x:v>Wisconsin site</x:v>
      </x:c>
      <x:c r="C51" s="52" t="str">
        <x:v>WI</x:v>
      </x:c>
      <x:c r="D51" s="52" t="str">
        <x:v>Microsoft</x:v>
      </x:c>
      <x:c r="E51" s="52" t="str">
        <x:v>wisconsin_40_mgd_2021_context</x:v>
      </x:c>
      <x:c r="F51" s="52" t="str">
        <x:v>Planned peak against 40 MGD Racine system capacity in 2021 context</x:v>
      </x:c>
      <x:c r="G51" s="52" t="str">
        <x:v>conditional_historical_context_scenario</x:v>
      </x:c>
      <x:c r="H51" s="52" t="str">
        <x:v>yes</x:v>
      </x:c>
      <x:c r="I51" s="52" t="str">
        <x:v>yes</x:v>
      </x:c>
      <x:c r="J51" s="52" t="str">
        <x:v>planned facility or campus</x:v>
      </x:c>
      <x:c r="K51" s="52" t="str">
        <x:v>planned or ramping</x:v>
      </x:c>
      <x:c r="L51" s="52" t="str">
        <x:v>W_peak</x:v>
      </x:c>
      <x:c r="M51" s="50" t="n">
        <x:v>0.702</x:v>
      </x:c>
      <x:c r="N51" s="52" t="str">
        <x:v>MGD</x:v>
      </x:c>
      <x:c r="O51" s="52" t="n">
        <x:v>702000</x:v>
      </x:c>
      <x:c r="P51" s="52" t="str">
        <x:v>gallons per day</x:v>
      </x:c>
      <x:c r="Q51" s="53" t="str">
        <x:v>P</x:v>
      </x:c>
      <x:c r="R51" s="52" t="str">
        <x:v>Wisconsin Public Radio reporting summarized in retained evidence</x:v>
      </x:c>
      <x:c r="S51" s="52" t="n">
        <x:v>2025</x:v>
      </x:c>
      <x:c r="T51" s="52" t="str">
        <x:v>planned cooling peak</x:v>
      </x:c>
      <x:c r="U51" s="52" t="str">
        <x:v>planned peak-day or design-day withdrawal</x:v>
      </x:c>
      <x:c r="V51" s="52" t="str">
        <x:v>unknown</x:v>
      </x:c>
      <x:c r="W51" s="52" t="str">
        <x:v>Mount Pleasant or Racine development</x:v>
      </x:c>
      <x:c r="X51" s="52" t="str">
        <x:v>planned peak delivery</x:v>
      </x:c>
      <x:c r="Y51" s="52" t="str">
        <x:v>conditional</x:v>
      </x:c>
      <x:c r="Z51" s="52" t="str">
        <x:v>secondary_source</x:v>
      </x:c>
      <x:c r="AA51" s="52"/>
      <x:c r="AB51" s="52"/>
      <x:c r="AC51" s="52"/>
      <x:c r="AD51" s="52" t="str">
        <x:v>conditional_confirmation_pending</x:v>
      </x:c>
      <x:c r="AE51" s="52" t="str">
        <x:v>Peak is planned, not measured.</x:v>
      </x:c>
    </x:row>
    <x:row r="52">
      <x:c r="A52" s="49" t="str">
        <x:v>wisconsin_mount_pleasant_wi</x:v>
      </x:c>
      <x:c r="B52" s="49" t="str">
        <x:v>Wisconsin site</x:v>
      </x:c>
      <x:c r="C52" s="49" t="str">
        <x:v>WI</x:v>
      </x:c>
      <x:c r="D52" s="49" t="str">
        <x:v>Microsoft</x:v>
      </x:c>
      <x:c r="E52" s="49" t="str">
        <x:v>wisconsin_40_mgd_2021_context</x:v>
      </x:c>
      <x:c r="F52" s="49" t="str">
        <x:v>Planned peak against 40 MGD Racine system capacity in 2021 context</x:v>
      </x:c>
      <x:c r="G52" s="49" t="str">
        <x:v>conditional_historical_context_scenario</x:v>
      </x:c>
      <x:c r="H52" s="49" t="str">
        <x:v>yes</x:v>
      </x:c>
      <x:c r="I52" s="49" t="str">
        <x:v>yes</x:v>
      </x:c>
      <x:c r="J52" s="49" t="str">
        <x:v>planned facility or campus</x:v>
      </x:c>
      <x:c r="K52" s="49" t="str">
        <x:v>planned or ramping</x:v>
      </x:c>
      <x:c r="L52" s="49" t="str">
        <x:v>r_peak</x:v>
      </x:c>
      <x:c r="M52" s="50" t="n">
        <x:v>0.77</x:v>
      </x:c>
      <x:c r="N52" s="49" t="str">
        <x:v>dimensionless</x:v>
      </x:c>
      <x:c r="O52" s="49" t="n">
        <x:v>0.77</x:v>
      </x:c>
      <x:c r="P52" s="49" t="str">
        <x:v>dimensionless</x:v>
      </x:c>
      <x:c r="Q52" s="51" t="str">
        <x:v>T</x:v>
      </x:c>
      <x:c r="R52" s="49" t="str">
        <x:v>Han et al., Small Bottle, Big Pipe</x:v>
      </x:c>
      <x:c r="S52" s="49" t="n">
        <x:v>2026</x:v>
      </x:c>
      <x:c r="T52" s="49" t="str">
        <x:v>Appendix A.5</x:v>
      </x:c>
      <x:c r="U52" s="49" t="str">
        <x:v>fleet aggregate transferred to planned peak</x:v>
      </x:c>
      <x:c r="V52" s="49" t="str">
        <x:v>unknown</x:v>
      </x:c>
      <x:c r="W52" s="49" t="str">
        <x:v>hyperscale operator fleet</x:v>
      </x:c>
      <x:c r="X52" s="49" t="str">
        <x:v>not applicable</x:v>
      </x:c>
      <x:c r="Y52" s="49" t="str">
        <x:v>conditional</x:v>
      </x:c>
      <x:c r="Z52" s="49" t="str">
        <x:v>verified_local</x:v>
      </x:c>
      <x:c r="AA52" s="49"/>
      <x:c r="AB52" s="49"/>
      <x:c r="AC52" s="49"/>
      <x:c r="AD52" s="49" t="str">
        <x:v>conditional_confirmation_pending</x:v>
      </x:c>
      <x:c r="AE52" s="49" t="str">
        <x:v>Not Microsoft Mount Pleasant specific.</x:v>
      </x:c>
    </x:row>
    <x:row r="53">
      <x:c r="A53" s="52" t="str">
        <x:v>wisconsin_mount_pleasant_wi</x:v>
      </x:c>
      <x:c r="B53" s="52" t="str">
        <x:v>Wisconsin site</x:v>
      </x:c>
      <x:c r="C53" s="52" t="str">
        <x:v>WI</x:v>
      </x:c>
      <x:c r="D53" s="52" t="str">
        <x:v>Microsoft</x:v>
      </x:c>
      <x:c r="E53" s="52" t="str">
        <x:v>wisconsin_40_mgd_2021_context</x:v>
      </x:c>
      <x:c r="F53" s="52" t="str">
        <x:v>Planned peak against 40 MGD Racine system capacity in 2021 context</x:v>
      </x:c>
      <x:c r="G53" s="52" t="str">
        <x:v>conditional_historical_context_scenario</x:v>
      </x:c>
      <x:c r="H53" s="52" t="str">
        <x:v>yes</x:v>
      </x:c>
      <x:c r="I53" s="52" t="str">
        <x:v>yes</x:v>
      </x:c>
      <x:c r="J53" s="52" t="str">
        <x:v>planned facility or campus</x:v>
      </x:c>
      <x:c r="K53" s="52" t="str">
        <x:v>planned or ramping</x:v>
      </x:c>
      <x:c r="L53" s="52" t="str">
        <x:v>K</x:v>
      </x:c>
      <x:c r="M53" s="50" t="n">
        <x:v>40</x:v>
      </x:c>
      <x:c r="N53" s="52" t="str">
        <x:v>MGD</x:v>
      </x:c>
      <x:c r="O53" s="52" t="n">
        <x:v>40</x:v>
      </x:c>
      <x:c r="P53" s="52" t="str">
        <x:v>MGD</x:v>
      </x:c>
      <x:c r="Q53" s="53" t="str">
        <x:v>M</x:v>
      </x:c>
      <x:c r="R53" s="52" t="str">
        <x:v>City of Racine Water Utility Director brochure</x:v>
      </x:c>
      <x:c r="S53" s="52" t="n">
        <x:v>2021</x:v>
      </x:c>
      <x:c r="T53" s="52" t="str">
        <x:v>40 MGD filtration plant; directly serves Mount Pleasant</x:v>
      </x:c>
      <x:c r="U53" s="52" t="str">
        <x:v>system nominal capacity in 2021 context</x:v>
      </x:c>
      <x:c r="V53" s="52" t="str">
        <x:v>Lake Michigan potable water</x:v>
      </x:c>
      <x:c r="W53" s="52" t="str">
        <x:v>Racine Water Utility system</x:v>
      </x:c>
      <x:c r="X53" s="52" t="str">
        <x:v>system-wide nominal filtration capacity</x:v>
      </x:c>
      <x:c r="Y53" s="52" t="str">
        <x:v>conditional</x:v>
      </x:c>
      <x:c r="Z53" s="52" t="str">
        <x:v>official_2021_context</x:v>
      </x:c>
      <x:c r="AA53" s="52"/>
      <x:c r="AB53" s="52"/>
      <x:c r="AC53" s="52"/>
      <x:c r="AD53" s="52" t="str">
        <x:v>conditional_confirmation_pending</x:v>
      </x:c>
      <x:c r="AE53" s="52" t="str">
        <x:v>Current utility confirmation and parcel or service-boundary check remain pending.</x:v>
      </x:c>
    </x:row>
    <x:row r="54">
      <x:c r="A54" s="49" t="str">
        <x:v>botetourt_county_va</x:v>
      </x:c>
      <x:c r="B54" s="49" t="str">
        <x:v>Botetourt County</x:v>
      </x:c>
      <x:c r="C54" s="49" t="str">
        <x:v>VA</x:v>
      </x:c>
      <x:c r="D54" s="49" t="str">
        <x:v>Google</x:v>
      </x:c>
      <x:c r="E54" s="49" t="str">
        <x:v>botetourt_peak_reservation_24_mgd_k</x:v>
      </x:c>
      <x:c r="F54" s="49" t="str">
        <x:v>2 MGD maximum reservation against 24 MGD Carvins Cove WTP</x:v>
      </x:c>
      <x:c r="G54" s="49" t="str">
        <x:v>permitted_peak_reservation_scenario</x:v>
      </x:c>
      <x:c r="H54" s="49" t="str">
        <x:v>yes</x:v>
      </x:c>
      <x:c r="I54" s="49" t="str">
        <x:v>yes</x:v>
      </x:c>
      <x:c r="J54" s="49" t="str">
        <x:v>development reservation</x:v>
      </x:c>
      <x:c r="K54" s="49" t="str">
        <x:v>planned or ramping</x:v>
      </x:c>
      <x:c r="L54" s="49" t="str">
        <x:v>W_peak</x:v>
      </x:c>
      <x:c r="M54" s="50" t="n">
        <x:v>2</x:v>
      </x:c>
      <x:c r="N54" s="49" t="str">
        <x:v>MGD</x:v>
      </x:c>
      <x:c r="O54" s="49" t="n">
        <x:v>2</x:v>
      </x:c>
      <x:c r="P54" s="49" t="str">
        <x:v>MGD</x:v>
      </x:c>
      <x:c r="Q54" s="51" t="str">
        <x:v>P</x:v>
      </x:c>
      <x:c r="R54" s="49" t="str">
        <x:v>Western Virginia Water Authority project page and funding agreement</x:v>
      </x:c>
      <x:c r="S54" s="49" t="n">
        <x:v>2026</x:v>
      </x:c>
      <x:c r="T54" s="49" t="str">
        <x:v>no more than 2 MGD</x:v>
      </x:c>
      <x:c r="U54" s="49" t="str">
        <x:v>reserved maximum; actual use seasonal and lower</x:v>
      </x:c>
      <x:c r="V54" s="49" t="str">
        <x:v>potable</x:v>
      </x:c>
      <x:c r="W54" s="49" t="str">
        <x:v>Botetourt development reservation</x:v>
      </x:c>
      <x:c r="X54" s="49" t="str">
        <x:v>site allocation or peak service envelope</x:v>
      </x:c>
      <x:c r="Y54" s="49" t="str">
        <x:v>conditional</x:v>
      </x:c>
      <x:c r="Z54" s="49" t="str">
        <x:v>authoritative_current</x:v>
      </x:c>
      <x:c r="AA54" s="49"/>
      <x:c r="AB54" s="49"/>
      <x:c r="AC54" s="49"/>
      <x:c r="AD54" s="49" t="str">
        <x:v>scenario_only</x:v>
      </x:c>
      <x:c r="AE54" s="49" t="str">
        <x:v>Already a maximum; no extra PF is applied.</x:v>
      </x:c>
    </x:row>
    <x:row r="55">
      <x:c r="A55" s="52" t="str">
        <x:v>botetourt_county_va</x:v>
      </x:c>
      <x:c r="B55" s="52" t="str">
        <x:v>Botetourt County</x:v>
      </x:c>
      <x:c r="C55" s="52" t="str">
        <x:v>VA</x:v>
      </x:c>
      <x:c r="D55" s="52" t="str">
        <x:v>Google</x:v>
      </x:c>
      <x:c r="E55" s="52" t="str">
        <x:v>botetourt_peak_reservation_24_mgd_k</x:v>
      </x:c>
      <x:c r="F55" s="52" t="str">
        <x:v>2 MGD maximum reservation against 24 MGD Carvins Cove WTP</x:v>
      </x:c>
      <x:c r="G55" s="52" t="str">
        <x:v>permitted_peak_reservation_scenario</x:v>
      </x:c>
      <x:c r="H55" s="52" t="str">
        <x:v>yes</x:v>
      </x:c>
      <x:c r="I55" s="52" t="str">
        <x:v>yes</x:v>
      </x:c>
      <x:c r="J55" s="52" t="str">
        <x:v>development reservation</x:v>
      </x:c>
      <x:c r="K55" s="52" t="str">
        <x:v>planned or ramping</x:v>
      </x:c>
      <x:c r="L55" s="52" t="str">
        <x:v>r_peak</x:v>
      </x:c>
      <x:c r="M55" s="50" t="n">
        <x:v>0.77</x:v>
      </x:c>
      <x:c r="N55" s="52" t="str">
        <x:v>dimensionless</x:v>
      </x:c>
      <x:c r="O55" s="52" t="n">
        <x:v>0.77</x:v>
      </x:c>
      <x:c r="P55" s="52" t="str">
        <x:v>dimensionless</x:v>
      </x:c>
      <x:c r="Q55" s="53" t="str">
        <x:v>T</x:v>
      </x:c>
      <x:c r="R55" s="52" t="str">
        <x:v>Han et al., Small Bottle, Big Pipe</x:v>
      </x:c>
      <x:c r="S55" s="52" t="n">
        <x:v>2026</x:v>
      </x:c>
      <x:c r="T55" s="52" t="str">
        <x:v>Appendix A.5</x:v>
      </x:c>
      <x:c r="U55" s="52" t="str">
        <x:v>fleet aggregate transferred to planned peak</x:v>
      </x:c>
      <x:c r="V55" s="52" t="str">
        <x:v>unknown</x:v>
      </x:c>
      <x:c r="W55" s="52" t="str">
        <x:v>hyperscale operator fleet</x:v>
      </x:c>
      <x:c r="X55" s="52" t="str">
        <x:v>not applicable</x:v>
      </x:c>
      <x:c r="Y55" s="52" t="str">
        <x:v>conditional</x:v>
      </x:c>
      <x:c r="Z55" s="52" t="str">
        <x:v>verified_local</x:v>
      </x:c>
      <x:c r="AA55" s="52"/>
      <x:c r="AB55" s="52"/>
      <x:c r="AC55" s="52"/>
      <x:c r="AD55" s="52" t="str">
        <x:v>scenario_only</x:v>
      </x:c>
      <x:c r="AE55" s="52" t="str">
        <x:v>Constant r at peak is an explicit scenario assumption.</x:v>
      </x:c>
    </x:row>
    <x:row r="56">
      <x:c r="A56" s="49" t="str">
        <x:v>botetourt_county_va</x:v>
      </x:c>
      <x:c r="B56" s="49" t="str">
        <x:v>Botetourt County</x:v>
      </x:c>
      <x:c r="C56" s="49" t="str">
        <x:v>VA</x:v>
      </x:c>
      <x:c r="D56" s="49" t="str">
        <x:v>Google</x:v>
      </x:c>
      <x:c r="E56" s="49" t="str">
        <x:v>botetourt_peak_reservation_24_mgd_k</x:v>
      </x:c>
      <x:c r="F56" s="49" t="str">
        <x:v>2 MGD maximum reservation against 24 MGD Carvins Cove WTP</x:v>
      </x:c>
      <x:c r="G56" s="49" t="str">
        <x:v>permitted_peak_reservation_scenario</x:v>
      </x:c>
      <x:c r="H56" s="49" t="str">
        <x:v>yes</x:v>
      </x:c>
      <x:c r="I56" s="49" t="str">
        <x:v>yes</x:v>
      </x:c>
      <x:c r="J56" s="49" t="str">
        <x:v>development reservation</x:v>
      </x:c>
      <x:c r="K56" s="49" t="str">
        <x:v>planned or ramping</x:v>
      </x:c>
      <x:c r="L56" s="49" t="str">
        <x:v>K</x:v>
      </x:c>
      <x:c r="M56" s="50" t="n">
        <x:v>24</x:v>
      </x:c>
      <x:c r="N56" s="49" t="str">
        <x:v>MGD</x:v>
      </x:c>
      <x:c r="O56" s="49" t="n">
        <x:v>24</x:v>
      </x:c>
      <x:c r="P56" s="49" t="str">
        <x:v>MGD</x:v>
      </x:c>
      <x:c r="Q56" s="51" t="str">
        <x:v>M</x:v>
      </x:c>
      <x:c r="R56" s="49" t="str">
        <x:v>Western Virginia Water Authority current project page and FAQ</x:v>
      </x:c>
      <x:c r="S56" s="49" t="n">
        <x:v>2026</x:v>
      </x:c>
      <x:c r="T56" s="49" t="str">
        <x:v>Carvins Cove WTP treatment capacity</x:v>
      </x:c>
      <x:c r="U56" s="49" t="str">
        <x:v>current serving-plant nominal capacity</x:v>
      </x:c>
      <x:c r="V56" s="49" t="str">
        <x:v>potable</x:v>
      </x:c>
      <x:c r="W56" s="49" t="str">
        <x:v>Carvins Cove WTP</x:v>
      </x:c>
      <x:c r="X56" s="49" t="str">
        <x:v>serving-plant nominal capacity</x:v>
      </x:c>
      <x:c r="Y56" s="49" t="str">
        <x:v>conditional</x:v>
      </x:c>
      <x:c r="Z56" s="49" t="str">
        <x:v>authoritative_current</x:v>
      </x:c>
      <x:c r="AA56" s="49"/>
      <x:c r="AB56" s="49"/>
      <x:c r="AC56" s="49"/>
      <x:c r="AD56" s="49" t="str">
        <x:v>scenario_only</x:v>
      </x:c>
      <x:c r="AE56" s="49" t="str">
        <x:v>Current production and headroom are distinct from this nominal capacity.</x:v>
      </x:c>
    </x:row>
    <x:row r="57">
      <x:c r="A57" s="52" t="str">
        <x:v>memphis_tn</x:v>
      </x:c>
      <x:c r="B57" s="52" t="str">
        <x:v>Memphis</x:v>
      </x:c>
      <x:c r="C57" s="52" t="str">
        <x:v>TN</x:v>
      </x:c>
      <x:c r="D57" s="52" t="str">
        <x:v>xAI</x:v>
      </x:c>
      <x:c r="E57" s="52" t="str">
        <x:v>memphis_peak_system_258</x:v>
      </x:c>
      <x:c r="F57" s="52" t="str">
        <x:v>1 MGD service maximum against 258 MGD MLGW system K</x:v>
      </x:c>
      <x:c r="G57" s="52" t="str">
        <x:v>whole_system_denominator_scenario</x:v>
      </x:c>
      <x:c r="H57" s="52" t="str">
        <x:v>no</x:v>
      </x:c>
      <x:c r="I57" s="52" t="str">
        <x:v>yes</x:v>
      </x:c>
      <x:c r="J57" s="52" t="str">
        <x:v>facility</x:v>
      </x:c>
      <x:c r="K57" s="52" t="str">
        <x:v>operating or ramping</x:v>
      </x:c>
      <x:c r="L57" s="52" t="str">
        <x:v>W_peak</x:v>
      </x:c>
      <x:c r="M57" s="50" t="n">
        <x:v>1</x:v>
      </x:c>
      <x:c r="N57" s="52" t="str">
        <x:v>MGD</x:v>
      </x:c>
      <x:c r="O57" s="52" t="n">
        <x:v>1</x:v>
      </x:c>
      <x:c r="P57" s="52" t="str">
        <x:v>MGD</x:v>
      </x:c>
      <x:c r="Q57" s="53" t="str">
        <x:v>P</x:v>
      </x:c>
      <x:c r="R57" s="52" t="str">
        <x:v>MLGW September-October 2024 community update</x:v>
      </x:c>
      <x:c r="S57" s="52" t="n">
        <x:v>2024</x:v>
      </x:c>
      <x:c r="T57" s="52" t="str">
        <x:v>up to 1 MGD through existing main</x:v>
      </x:c>
      <x:c r="U57" s="52" t="str">
        <x:v>service maximum, not measured average</x:v>
      </x:c>
      <x:c r="V57" s="52" t="str">
        <x:v>groundwater potable</x:v>
      </x:c>
      <x:c r="W57" s="52" t="str">
        <x:v>Paul Lowry or Pidgeon site</x:v>
      </x:c>
      <x:c r="X57" s="52" t="str">
        <x:v>site service maximum</x:v>
      </x:c>
      <x:c r="Y57" s="52" t="str">
        <x:v>system</x:v>
      </x:c>
      <x:c r="Z57" s="52" t="str">
        <x:v>authoritative_current</x:v>
      </x:c>
      <x:c r="AA57" s="52"/>
      <x:c r="AB57" s="52"/>
      <x:c r="AC57" s="52"/>
      <x:c r="AD57" s="52" t="str">
        <x:v>within_site_scenario_only</x:v>
      </x:c>
      <x:c r="AE57" s="52" t="str">
        <x:v>No additional PF is applied.</x:v>
      </x:c>
    </x:row>
    <x:row r="58">
      <x:c r="A58" s="49" t="str">
        <x:v>memphis_tn</x:v>
      </x:c>
      <x:c r="B58" s="49" t="str">
        <x:v>Memphis</x:v>
      </x:c>
      <x:c r="C58" s="49" t="str">
        <x:v>TN</x:v>
      </x:c>
      <x:c r="D58" s="49" t="str">
        <x:v>xAI</x:v>
      </x:c>
      <x:c r="E58" s="49" t="str">
        <x:v>memphis_peak_system_258</x:v>
      </x:c>
      <x:c r="F58" s="49" t="str">
        <x:v>1 MGD service maximum against 258 MGD MLGW system K</x:v>
      </x:c>
      <x:c r="G58" s="49" t="str">
        <x:v>whole_system_denominator_scenario</x:v>
      </x:c>
      <x:c r="H58" s="49" t="str">
        <x:v>no</x:v>
      </x:c>
      <x:c r="I58" s="49" t="str">
        <x:v>yes</x:v>
      </x:c>
      <x:c r="J58" s="49" t="str">
        <x:v>facility</x:v>
      </x:c>
      <x:c r="K58" s="49" t="str">
        <x:v>operating or ramping</x:v>
      </x:c>
      <x:c r="L58" s="49" t="str">
        <x:v>r_peak</x:v>
      </x:c>
      <x:c r="M58" s="50" t="n">
        <x:v>0.77</x:v>
      </x:c>
      <x:c r="N58" s="49" t="str">
        <x:v>dimensionless</x:v>
      </x:c>
      <x:c r="O58" s="49" t="n">
        <x:v>0.77</x:v>
      </x:c>
      <x:c r="P58" s="49" t="str">
        <x:v>dimensionless</x:v>
      </x:c>
      <x:c r="Q58" s="51" t="str">
        <x:v>T</x:v>
      </x:c>
      <x:c r="R58" s="49" t="str">
        <x:v>Han et al., Small Bottle, Big Pipe</x:v>
      </x:c>
      <x:c r="S58" s="49" t="n">
        <x:v>2026</x:v>
      </x:c>
      <x:c r="T58" s="49" t="str">
        <x:v>Appendix A.5</x:v>
      </x:c>
      <x:c r="U58" s="49" t="str">
        <x:v>fleet aggregate transferred to peak scenario</x:v>
      </x:c>
      <x:c r="V58" s="49" t="str">
        <x:v>unknown</x:v>
      </x:c>
      <x:c r="W58" s="49" t="str">
        <x:v>hyperscale operator fleet</x:v>
      </x:c>
      <x:c r="X58" s="49" t="str">
        <x:v>not applicable</x:v>
      </x:c>
      <x:c r="Y58" s="49" t="str">
        <x:v>system</x:v>
      </x:c>
      <x:c r="Z58" s="49" t="str">
        <x:v>verified_local</x:v>
      </x:c>
      <x:c r="AA58" s="49"/>
      <x:c r="AB58" s="49"/>
      <x:c r="AC58" s="49"/>
      <x:c r="AD58" s="49" t="str">
        <x:v>within_site_scenario_only</x:v>
      </x:c>
      <x:c r="AE58" s="49" t="str">
        <x:v>Not xAI or Memphis specific.</x:v>
      </x:c>
    </x:row>
    <x:row r="59">
      <x:c r="A59" s="52" t="str">
        <x:v>memphis_tn</x:v>
      </x:c>
      <x:c r="B59" s="52" t="str">
        <x:v>Memphis</x:v>
      </x:c>
      <x:c r="C59" s="52" t="str">
        <x:v>TN</x:v>
      </x:c>
      <x:c r="D59" s="52" t="str">
        <x:v>xAI</x:v>
      </x:c>
      <x:c r="E59" s="52" t="str">
        <x:v>memphis_peak_system_258</x:v>
      </x:c>
      <x:c r="F59" s="52" t="str">
        <x:v>1 MGD service maximum against 258 MGD MLGW system K</x:v>
      </x:c>
      <x:c r="G59" s="52" t="str">
        <x:v>whole_system_denominator_scenario</x:v>
      </x:c>
      <x:c r="H59" s="52" t="str">
        <x:v>no</x:v>
      </x:c>
      <x:c r="I59" s="52" t="str">
        <x:v>yes</x:v>
      </x:c>
      <x:c r="J59" s="52" t="str">
        <x:v>facility</x:v>
      </x:c>
      <x:c r="K59" s="52" t="str">
        <x:v>operating or ramping</x:v>
      </x:c>
      <x:c r="L59" s="52" t="str">
        <x:v>K</x:v>
      </x:c>
      <x:c r="M59" s="50" t="n">
        <x:v>258</x:v>
      </x:c>
      <x:c r="N59" s="52" t="str">
        <x:v>MGD</x:v>
      </x:c>
      <x:c r="O59" s="52" t="n">
        <x:v>258</x:v>
      </x:c>
      <x:c r="P59" s="52" t="str">
        <x:v>MGD</x:v>
      </x:c>
      <x:c r="Q59" s="53" t="str">
        <x:v>M</x:v>
      </x:c>
      <x:c r="R59" s="52" t="str">
        <x:v>MLGW 2022 Drought Management Plan</x:v>
      </x:c>
      <x:c r="S59" s="52" t="n">
        <x:v>2022</x:v>
      </x:c>
      <x:c r="T59" s="52" t="str">
        <x:v>ten plants combined treatment capability</x:v>
      </x:c>
      <x:c r="U59" s="52" t="str">
        <x:v>whole-system nominal capacity</x:v>
      </x:c>
      <x:c r="V59" s="52" t="str">
        <x:v>groundwater potable</x:v>
      </x:c>
      <x:c r="W59" s="52" t="str">
        <x:v>MLGW system</x:v>
      </x:c>
      <x:c r="X59" s="52" t="str">
        <x:v>whole-system nominal treatment capacity</x:v>
      </x:c>
      <x:c r="Y59" s="52" t="str">
        <x:v>system</x:v>
      </x:c>
      <x:c r="Z59" s="52" t="str">
        <x:v>authoritative_primary</x:v>
      </x:c>
      <x:c r="AA59" s="52"/>
      <x:c r="AB59" s="52"/>
      <x:c r="AC59" s="52"/>
      <x:c r="AD59" s="52" t="str">
        <x:v>within_site_scenario_only</x:v>
      </x:c>
      <x:c r="AE59" s="52" t="str">
        <x:v>Broad denominator; not local headroom.</x:v>
      </x:c>
    </x:row>
    <x:row r="60">
      <x:c r="A60" s="49" t="str">
        <x:v>memphis_tn</x:v>
      </x:c>
      <x:c r="B60" s="49" t="str">
        <x:v>Memphis</x:v>
      </x:c>
      <x:c r="C60" s="49" t="str">
        <x:v>TN</x:v>
      </x:c>
      <x:c r="D60" s="49" t="str">
        <x:v>xAI</x:v>
      </x:c>
      <x:c r="E60" s="49" t="str">
        <x:v>memphis_peak_serving_plant_30</x:v>
      </x:c>
      <x:c r="F60" s="49" t="str">
        <x:v>1 MGD service maximum against 30 MGD Davis WTP K</x:v>
      </x:c>
      <x:c r="G60" s="49" t="str">
        <x:v>serving_plant_denominator_scenario</x:v>
      </x:c>
      <x:c r="H60" s="49" t="str">
        <x:v>yes</x:v>
      </x:c>
      <x:c r="I60" s="49" t="str">
        <x:v>yes</x:v>
      </x:c>
      <x:c r="J60" s="49" t="str">
        <x:v>facility</x:v>
      </x:c>
      <x:c r="K60" s="49" t="str">
        <x:v>operating or ramping</x:v>
      </x:c>
      <x:c r="L60" s="49" t="str">
        <x:v>W_peak</x:v>
      </x:c>
      <x:c r="M60" s="50" t="n">
        <x:v>1</x:v>
      </x:c>
      <x:c r="N60" s="49" t="str">
        <x:v>MGD</x:v>
      </x:c>
      <x:c r="O60" s="49" t="n">
        <x:v>1</x:v>
      </x:c>
      <x:c r="P60" s="49" t="str">
        <x:v>MGD</x:v>
      </x:c>
      <x:c r="Q60" s="51" t="str">
        <x:v>P</x:v>
      </x:c>
      <x:c r="R60" s="49" t="str">
        <x:v>MLGW September-October 2024 community update</x:v>
      </x:c>
      <x:c r="S60" s="49" t="n">
        <x:v>2024</x:v>
      </x:c>
      <x:c r="T60" s="49" t="str">
        <x:v>up to 1 MGD through existing main</x:v>
      </x:c>
      <x:c r="U60" s="49" t="str">
        <x:v>service maximum, not measured average</x:v>
      </x:c>
      <x:c r="V60" s="49" t="str">
        <x:v>groundwater potable</x:v>
      </x:c>
      <x:c r="W60" s="49" t="str">
        <x:v>Paul Lowry or Pidgeon site</x:v>
      </x:c>
      <x:c r="X60" s="49" t="str">
        <x:v>site service maximum</x:v>
      </x:c>
      <x:c r="Y60" s="49" t="str">
        <x:v>conditional</x:v>
      </x:c>
      <x:c r="Z60" s="49" t="str">
        <x:v>authoritative_current</x:v>
      </x:c>
      <x:c r="AA60" s="49"/>
      <x:c r="AB60" s="49"/>
      <x:c r="AC60" s="49"/>
      <x:c r="AD60" s="49" t="str">
        <x:v>scenario_only</x:v>
      </x:c>
      <x:c r="AE60" s="49" t="str">
        <x:v>No additional PF is applied.</x:v>
      </x:c>
    </x:row>
    <x:row r="61">
      <x:c r="A61" s="52" t="str">
        <x:v>memphis_tn</x:v>
      </x:c>
      <x:c r="B61" s="52" t="str">
        <x:v>Memphis</x:v>
      </x:c>
      <x:c r="C61" s="52" t="str">
        <x:v>TN</x:v>
      </x:c>
      <x:c r="D61" s="52" t="str">
        <x:v>xAI</x:v>
      </x:c>
      <x:c r="E61" s="52" t="str">
        <x:v>memphis_peak_serving_plant_30</x:v>
      </x:c>
      <x:c r="F61" s="52" t="str">
        <x:v>1 MGD service maximum against 30 MGD Davis WTP K</x:v>
      </x:c>
      <x:c r="G61" s="52" t="str">
        <x:v>serving_plant_denominator_scenario</x:v>
      </x:c>
      <x:c r="H61" s="52" t="str">
        <x:v>yes</x:v>
      </x:c>
      <x:c r="I61" s="52" t="str">
        <x:v>yes</x:v>
      </x:c>
      <x:c r="J61" s="52" t="str">
        <x:v>facility</x:v>
      </x:c>
      <x:c r="K61" s="52" t="str">
        <x:v>operating or ramping</x:v>
      </x:c>
      <x:c r="L61" s="52" t="str">
        <x:v>r_peak</x:v>
      </x:c>
      <x:c r="M61" s="50" t="n">
        <x:v>0.77</x:v>
      </x:c>
      <x:c r="N61" s="52" t="str">
        <x:v>dimensionless</x:v>
      </x:c>
      <x:c r="O61" s="52" t="n">
        <x:v>0.77</x:v>
      </x:c>
      <x:c r="P61" s="52" t="str">
        <x:v>dimensionless</x:v>
      </x:c>
      <x:c r="Q61" s="53" t="str">
        <x:v>T</x:v>
      </x:c>
      <x:c r="R61" s="52" t="str">
        <x:v>Han et al., Small Bottle, Big Pipe</x:v>
      </x:c>
      <x:c r="S61" s="52" t="n">
        <x:v>2026</x:v>
      </x:c>
      <x:c r="T61" s="52" t="str">
        <x:v>Appendix A.5</x:v>
      </x:c>
      <x:c r="U61" s="52" t="str">
        <x:v>fleet aggregate transferred to peak scenario</x:v>
      </x:c>
      <x:c r="V61" s="52" t="str">
        <x:v>unknown</x:v>
      </x:c>
      <x:c r="W61" s="52" t="str">
        <x:v>hyperscale operator fleet</x:v>
      </x:c>
      <x:c r="X61" s="52" t="str">
        <x:v>not applicable</x:v>
      </x:c>
      <x:c r="Y61" s="52" t="str">
        <x:v>conditional</x:v>
      </x:c>
      <x:c r="Z61" s="52" t="str">
        <x:v>verified_local</x:v>
      </x:c>
      <x:c r="AA61" s="52"/>
      <x:c r="AB61" s="52"/>
      <x:c r="AC61" s="52"/>
      <x:c r="AD61" s="52" t="str">
        <x:v>scenario_only</x:v>
      </x:c>
      <x:c r="AE61" s="52" t="str">
        <x:v>Not xAI or Memphis specific.</x:v>
      </x:c>
    </x:row>
    <x:row r="62">
      <x:c r="A62" s="49" t="str">
        <x:v>memphis_tn</x:v>
      </x:c>
      <x:c r="B62" s="49" t="str">
        <x:v>Memphis</x:v>
      </x:c>
      <x:c r="C62" s="49" t="str">
        <x:v>TN</x:v>
      </x:c>
      <x:c r="D62" s="49" t="str">
        <x:v>xAI</x:v>
      </x:c>
      <x:c r="E62" s="49" t="str">
        <x:v>memphis_peak_serving_plant_30</x:v>
      </x:c>
      <x:c r="F62" s="49" t="str">
        <x:v>1 MGD service maximum against 30 MGD Davis WTP K</x:v>
      </x:c>
      <x:c r="G62" s="49" t="str">
        <x:v>serving_plant_denominator_scenario</x:v>
      </x:c>
      <x:c r="H62" s="49" t="str">
        <x:v>yes</x:v>
      </x:c>
      <x:c r="I62" s="49" t="str">
        <x:v>yes</x:v>
      </x:c>
      <x:c r="J62" s="49" t="str">
        <x:v>facility</x:v>
      </x:c>
      <x:c r="K62" s="49" t="str">
        <x:v>operating or ramping</x:v>
      </x:c>
      <x:c r="L62" s="49" t="str">
        <x:v>K</x:v>
      </x:c>
      <x:c r="M62" s="50" t="n">
        <x:v>30</x:v>
      </x:c>
      <x:c r="N62" s="49" t="str">
        <x:v>MGD</x:v>
      </x:c>
      <x:c r="O62" s="49" t="n">
        <x:v>30</x:v>
      </x:c>
      <x:c r="P62" s="49" t="str">
        <x:v>MGD</x:v>
      </x:c>
      <x:c r="Q62" s="51" t="str">
        <x:v>M</x:v>
      </x:c>
      <x:c r="R62" s="49" t="str">
        <x:v>MLGW 2022 Drought Management Plan</x:v>
      </x:c>
      <x:c r="S62" s="49" t="n">
        <x:v>2022</x:v>
      </x:c>
      <x:c r="T62" s="49" t="str">
        <x:v>Davis WTP serving Pidgeon Industrial Park</x:v>
      </x:c>
      <x:c r="U62" s="49" t="str">
        <x:v>serving-plant nominal capacity</x:v>
      </x:c>
      <x:c r="V62" s="49" t="str">
        <x:v>groundwater potable</x:v>
      </x:c>
      <x:c r="W62" s="49" t="str">
        <x:v>Davis WTP</x:v>
      </x:c>
      <x:c r="X62" s="49" t="str">
        <x:v>serving-plant nominal treatment capacity</x:v>
      </x:c>
      <x:c r="Y62" s="49" t="str">
        <x:v>conditional</x:v>
      </x:c>
      <x:c r="Z62" s="49" t="str">
        <x:v>authoritative_primary</x:v>
      </x:c>
      <x:c r="AA62" s="49"/>
      <x:c r="AB62" s="49"/>
      <x:c r="AC62" s="49"/>
      <x:c r="AD62" s="49" t="str">
        <x:v>scenario_only</x:v>
      </x:c>
      <x:c r="AE62" s="49" t="str">
        <x:v>Better bounded than the whole-system scenario; still not available headroom.</x:v>
      </x:c>
    </x:row>
    <x:row r="63">
      <x:c r="A63" s="52" t="str">
        <x:v>midlothian_tx</x:v>
      </x:c>
      <x:c r="B63" s="52" t="str">
        <x:v>Midlothian</x:v>
      </x:c>
      <x:c r="C63" s="52" t="str">
        <x:v>TX</x:v>
      </x:c>
      <x:c r="D63" s="52" t="str">
        <x:v>Google</x:v>
      </x:c>
      <x:c r="E63" s="52" t="str">
        <x:v>midlothian_fy2024_nominal_k_default_pf</x:v>
      </x:c>
      <x:c r="F63" s="52" t="str">
        <x:v>FY2024 campus against 36 MGD nominal K with assumed PF</x:v>
      </x:c>
      <x:c r="G63" s="52" t="str">
        <x:v>conditional_nominal_capacity_scenario</x:v>
      </x:c>
      <x:c r="H63" s="52" t="str">
        <x:v>yes</x:v>
      </x:c>
      <x:c r="I63" s="52" t="str">
        <x:v>yes</x:v>
      </x:c>
      <x:c r="J63" s="52" t="str">
        <x:v>campus</x:v>
      </x:c>
      <x:c r="K63" s="52" t="str">
        <x:v>operating FY2024</x:v>
      </x:c>
      <x:c r="L63" s="52" t="str">
        <x:v>W_avg</x:v>
      </x:c>
      <x:c r="M63" s="54" t="n">
        <x:f>O63/366</x:f>
        <x:v>0.6038251366120219</x:v>
      </x:c>
      <x:c r="N63" s="52" t="str">
        <x:v>MGD</x:v>
      </x:c>
      <x:c r="O63" s="55" t="n">
        <x:v>221</x:v>
      </x:c>
      <x:c r="P63" s="52" t="str">
        <x:v>Mgal per FY2024</x:v>
      </x:c>
      <x:c r="Q63" s="53" t="str">
        <x:v>R</x:v>
      </x:c>
      <x:c r="R63" s="52" t="str">
        <x:v>Google 2025 Environmental Report</x:v>
      </x:c>
      <x:c r="S63" s="52" t="n">
        <x:v>2025</x:v>
      </x:c>
      <x:c r="T63" s="52" t="str">
        <x:v>page 110</x:v>
      </x:c>
      <x:c r="U63" s="52" t="str">
        <x:v>FY2024 annual actual divided by 366 days</x:v>
      </x:c>
      <x:c r="V63" s="52" t="str">
        <x:v>mixed or unknown</x:v>
      </x:c>
      <x:c r="W63" s="52" t="str">
        <x:v>Midlothian campus</x:v>
      </x:c>
      <x:c r="X63" s="52" t="str">
        <x:v>not applicable</x:v>
      </x:c>
      <x:c r="Y63" s="52" t="str">
        <x:v>conditional</x:v>
      </x:c>
      <x:c r="Z63" s="52" t="str">
        <x:v>verified_local</x:v>
      </x:c>
      <x:c r="AA63" s="52"/>
      <x:c r="AB63" s="52"/>
      <x:c r="AC63" s="52"/>
      <x:c r="AD63" s="52" t="str">
        <x:v>conditional_scenario</x:v>
      </x:c>
      <x:c r="AE63" s="52" t="str">
        <x:v>FY2024 leap-year conversion.</x:v>
      </x:c>
    </x:row>
    <x:row r="64">
      <x:c r="A64" s="49" t="str">
        <x:v>midlothian_tx</x:v>
      </x:c>
      <x:c r="B64" s="49" t="str">
        <x:v>Midlothian</x:v>
      </x:c>
      <x:c r="C64" s="49" t="str">
        <x:v>TX</x:v>
      </x:c>
      <x:c r="D64" s="49" t="str">
        <x:v>Google</x:v>
      </x:c>
      <x:c r="E64" s="49" t="str">
        <x:v>midlothian_fy2024_nominal_k_default_pf</x:v>
      </x:c>
      <x:c r="F64" s="49" t="str">
        <x:v>FY2024 campus against 36 MGD nominal K with assumed PF</x:v>
      </x:c>
      <x:c r="G64" s="49" t="str">
        <x:v>conditional_nominal_capacity_scenario</x:v>
      </x:c>
      <x:c r="H64" s="49" t="str">
        <x:v>yes</x:v>
      </x:c>
      <x:c r="I64" s="49" t="str">
        <x:v>yes</x:v>
      </x:c>
      <x:c r="J64" s="49" t="str">
        <x:v>campus</x:v>
      </x:c>
      <x:c r="K64" s="49" t="str">
        <x:v>operating FY2024</x:v>
      </x:c>
      <x:c r="L64" s="49" t="str">
        <x:v>C_avg</x:v>
      </x:c>
      <x:c r="M64" s="54" t="n">
        <x:f>O64/366</x:f>
        <x:v>0.4980874316939891</x:v>
      </x:c>
      <x:c r="N64" s="49" t="str">
        <x:v>MGD</x:v>
      </x:c>
      <x:c r="O64" s="55" t="n">
        <x:v>182.3</x:v>
      </x:c>
      <x:c r="P64" s="49" t="str">
        <x:v>Mgal per FY2024</x:v>
      </x:c>
      <x:c r="Q64" s="51" t="str">
        <x:v>R</x:v>
      </x:c>
      <x:c r="R64" s="49" t="str">
        <x:v>Google 2025 Environmental Report</x:v>
      </x:c>
      <x:c r="S64" s="49" t="n">
        <x:v>2025</x:v>
      </x:c>
      <x:c r="T64" s="49" t="str">
        <x:v>page 110</x:v>
      </x:c>
      <x:c r="U64" s="49" t="str">
        <x:v>FY2024 annual actual divided by 366 days</x:v>
      </x:c>
      <x:c r="V64" s="49" t="str">
        <x:v>mixed or unknown</x:v>
      </x:c>
      <x:c r="W64" s="49" t="str">
        <x:v>Midlothian campus</x:v>
      </x:c>
      <x:c r="X64" s="49" t="str">
        <x:v>not applicable</x:v>
      </x:c>
      <x:c r="Y64" s="49" t="str">
        <x:v>conditional</x:v>
      </x:c>
      <x:c r="Z64" s="49" t="str">
        <x:v>verified_local</x:v>
      </x:c>
      <x:c r="AA64" s="49"/>
      <x:c r="AB64" s="49"/>
      <x:c r="AC64" s="49"/>
      <x:c r="AD64" s="49" t="str">
        <x:v>conditional_scenario</x:v>
      </x:c>
      <x:c r="AE64" s="49" t="str">
        <x:v>Same campus and year as withdrawal.</x:v>
      </x:c>
    </x:row>
    <x:row r="65">
      <x:c r="A65" s="52" t="str">
        <x:v>midlothian_tx</x:v>
      </x:c>
      <x:c r="B65" s="52" t="str">
        <x:v>Midlothian</x:v>
      </x:c>
      <x:c r="C65" s="52" t="str">
        <x:v>TX</x:v>
      </x:c>
      <x:c r="D65" s="52" t="str">
        <x:v>Google</x:v>
      </x:c>
      <x:c r="E65" s="52" t="str">
        <x:v>midlothian_fy2024_nominal_k_default_pf</x:v>
      </x:c>
      <x:c r="F65" s="52" t="str">
        <x:v>FY2024 campus against 36 MGD nominal K with assumed PF</x:v>
      </x:c>
      <x:c r="G65" s="52" t="str">
        <x:v>conditional_nominal_capacity_scenario</x:v>
      </x:c>
      <x:c r="H65" s="52" t="str">
        <x:v>yes</x:v>
      </x:c>
      <x:c r="I65" s="52" t="str">
        <x:v>yes</x:v>
      </x:c>
      <x:c r="J65" s="52" t="str">
        <x:v>campus</x:v>
      </x:c>
      <x:c r="K65" s="52" t="str">
        <x:v>operating FY2024</x:v>
      </x:c>
      <x:c r="L65" s="52" t="str">
        <x:v>PF_shared</x:v>
      </x:c>
      <x:c r="M65" s="50" t="n">
        <x:v>2.5</x:v>
      </x:c>
      <x:c r="N65" s="52" t="str">
        <x:v>dimensionless</x:v>
      </x:c>
      <x:c r="O65" s="52" t="n">
        <x:v>2.5</x:v>
      </x:c>
      <x:c r="P65" s="52" t="str">
        <x:v>dimensionless</x:v>
      </x:c>
      <x:c r="Q65" s="53" t="str">
        <x:v>A</x:v>
      </x:c>
      <x:c r="R65" s="52" t="str">
        <x:v>Author-assumed warm-climate default</x:v>
      </x:c>
      <x:c r="S65" s="52" t="n">
        <x:v>2026</x:v>
      </x:c>
      <x:c r="T65" s="52" t="str">
        <x:v>WCI input documentation</x:v>
      </x:c>
      <x:c r="U65" s="52" t="str">
        <x:v>author-selected planning scenario</x:v>
      </x:c>
      <x:c r="V65" s="52" t="str">
        <x:v>unknown</x:v>
      </x:c>
      <x:c r="W65" s="52" t="str">
        <x:v>not site specific</x:v>
      </x:c>
      <x:c r="X65" s="52" t="str">
        <x:v>not applicable</x:v>
      </x:c>
      <x:c r="Y65" s="52" t="str">
        <x:v>conditional</x:v>
      </x:c>
      <x:c r="Z65" s="52" t="str">
        <x:v>author_assumption</x:v>
      </x:c>
      <x:c r="AA65" s="52"/>
      <x:c r="AB65" s="52"/>
      <x:c r="AC65" s="52"/>
      <x:c r="AD65" s="52" t="str">
        <x:v>conditional_scenario</x:v>
      </x:c>
      <x:c r="AE65" s="52" t="str">
        <x:v>Not an observed Midlothian PF.</x:v>
      </x:c>
    </x:row>
    <x:row r="66">
      <x:c r="A66" s="49" t="str">
        <x:v>midlothian_tx</x:v>
      </x:c>
      <x:c r="B66" s="49" t="str">
        <x:v>Midlothian</x:v>
      </x:c>
      <x:c r="C66" s="49" t="str">
        <x:v>TX</x:v>
      </x:c>
      <x:c r="D66" s="49" t="str">
        <x:v>Google</x:v>
      </x:c>
      <x:c r="E66" s="49" t="str">
        <x:v>midlothian_fy2024_nominal_k_default_pf</x:v>
      </x:c>
      <x:c r="F66" s="49" t="str">
        <x:v>FY2024 campus against 36 MGD nominal K with assumed PF</x:v>
      </x:c>
      <x:c r="G66" s="49" t="str">
        <x:v>conditional_nominal_capacity_scenario</x:v>
      </x:c>
      <x:c r="H66" s="49" t="str">
        <x:v>yes</x:v>
      </x:c>
      <x:c r="I66" s="49" t="str">
        <x:v>yes</x:v>
      </x:c>
      <x:c r="J66" s="49" t="str">
        <x:v>campus</x:v>
      </x:c>
      <x:c r="K66" s="49" t="str">
        <x:v>operating FY2024</x:v>
      </x:c>
      <x:c r="L66" s="49" t="str">
        <x:v>K</x:v>
      </x:c>
      <x:c r="M66" s="50" t="n">
        <x:v>36</x:v>
      </x:c>
      <x:c r="N66" s="49" t="str">
        <x:v>MGD</x:v>
      </x:c>
      <x:c r="O66" s="49" t="n">
        <x:v>36</x:v>
      </x:c>
      <x:c r="P66" s="49" t="str">
        <x:v>MGD</x:v>
      </x:c>
      <x:c r="Q66" s="51" t="str">
        <x:v>M</x:v>
      </x:c>
      <x:c r="R66" s="49" t="str">
        <x:v>City of Midlothian Water Treatment Plants page</x:v>
      </x:c>
      <x:c r="S66" s="49" t="n">
        <x:v>2026</x:v>
      </x:c>
      <x:c r="T66" s="49" t="str">
        <x:v>12 MGD Tayman plus 24 MGD Auger after 2024 expansion</x:v>
      </x:c>
      <x:c r="U66" s="49" t="str">
        <x:v>current city-system nominal capacity</x:v>
      </x:c>
      <x:c r="V66" s="49" t="str">
        <x:v>surface water</x:v>
      </x:c>
      <x:c r="W66" s="49" t="str">
        <x:v>City of Midlothian system</x:v>
      </x:c>
      <x:c r="X66" s="49" t="str">
        <x:v>combined nominal treatment capacity</x:v>
      </x:c>
      <x:c r="Y66" s="49" t="str">
        <x:v>conditional</x:v>
      </x:c>
      <x:c r="Z66" s="49" t="str">
        <x:v>authoritative_current</x:v>
      </x:c>
      <x:c r="AA66" s="49"/>
      <x:c r="AB66" s="49"/>
      <x:c r="AC66" s="49"/>
      <x:c r="AD66" s="49" t="str">
        <x:v>conditional_scenario</x:v>
      </x:c>
      <x:c r="AE66" s="49" t="str">
        <x:v>Direct service to the Google campus remains a final confirmation item.</x:v>
      </x:c>
    </x:row>
    <x:row r="67">
      <x:c r="A67" s="52" t="str">
        <x:v>henderson_nv</x:v>
      </x:c>
      <x:c r="B67" s="52" t="str">
        <x:v>Henderson</x:v>
      </x:c>
      <x:c r="C67" s="52" t="str">
        <x:v>NV</x:v>
      </x:c>
      <x:c r="D67" s="52" t="str">
        <x:v>Google</x:v>
      </x:c>
      <x:c r="E67" s="52" t="str">
        <x:v>henderson_fy2024_regional_gross_capacity</x:v>
      </x:c>
      <x:c r="F67" s="52" t="str">
        <x:v>FY2024 campus against 900 MGD SNWA regional gross capacity</x:v>
      </x:c>
      <x:c r="G67" s="52" t="str">
        <x:v>regional_denominator_scenario</x:v>
      </x:c>
      <x:c r="H67" s="52" t="str">
        <x:v>yes</x:v>
      </x:c>
      <x:c r="I67" s="52" t="str">
        <x:v>yes</x:v>
      </x:c>
      <x:c r="J67" s="52" t="str">
        <x:v>campus</x:v>
      </x:c>
      <x:c r="K67" s="52" t="str">
        <x:v>operating FY2024</x:v>
      </x:c>
      <x:c r="L67" s="52" t="str">
        <x:v>W_avg</x:v>
      </x:c>
      <x:c r="M67" s="54" t="n">
        <x:f>O67/366</x:f>
        <x:v>0.9833333333333333</x:v>
      </x:c>
      <x:c r="N67" s="52" t="str">
        <x:v>MGD</x:v>
      </x:c>
      <x:c r="O67" s="55" t="n">
        <x:v>359.9</x:v>
      </x:c>
      <x:c r="P67" s="52" t="str">
        <x:v>Mgal per FY2024</x:v>
      </x:c>
      <x:c r="Q67" s="53" t="str">
        <x:v>R</x:v>
      </x:c>
      <x:c r="R67" s="52" t="str">
        <x:v>Google 2025 Environmental Report</x:v>
      </x:c>
      <x:c r="S67" s="52" t="n">
        <x:v>2025</x:v>
      </x:c>
      <x:c r="T67" s="52" t="str">
        <x:v>page 110</x:v>
      </x:c>
      <x:c r="U67" s="52" t="str">
        <x:v>FY2024 annual actual divided by 366 days</x:v>
      </x:c>
      <x:c r="V67" s="52" t="str">
        <x:v>mixed or unknown</x:v>
      </x:c>
      <x:c r="W67" s="52" t="str">
        <x:v>Henderson campus</x:v>
      </x:c>
      <x:c r="X67" s="52" t="str">
        <x:v>not applicable</x:v>
      </x:c>
      <x:c r="Y67" s="52" t="str">
        <x:v>regional</x:v>
      </x:c>
      <x:c r="Z67" s="52" t="str">
        <x:v>verified_local</x:v>
      </x:c>
      <x:c r="AA67" s="52"/>
      <x:c r="AB67" s="52"/>
      <x:c r="AC67" s="52"/>
      <x:c r="AD67" s="52" t="str">
        <x:v>regional_scenario_only</x:v>
      </x:c>
      <x:c r="AE67" s="52" t="str">
        <x:v>FY2024 leap-year conversion.</x:v>
      </x:c>
    </x:row>
    <x:row r="68">
      <x:c r="A68" s="49" t="str">
        <x:v>henderson_nv</x:v>
      </x:c>
      <x:c r="B68" s="49" t="str">
        <x:v>Henderson</x:v>
      </x:c>
      <x:c r="C68" s="49" t="str">
        <x:v>NV</x:v>
      </x:c>
      <x:c r="D68" s="49" t="str">
        <x:v>Google</x:v>
      </x:c>
      <x:c r="E68" s="49" t="str">
        <x:v>henderson_fy2024_regional_gross_capacity</x:v>
      </x:c>
      <x:c r="F68" s="49" t="str">
        <x:v>FY2024 campus against 900 MGD SNWA regional gross capacity</x:v>
      </x:c>
      <x:c r="G68" s="49" t="str">
        <x:v>regional_denominator_scenario</x:v>
      </x:c>
      <x:c r="H68" s="49" t="str">
        <x:v>yes</x:v>
      </x:c>
      <x:c r="I68" s="49" t="str">
        <x:v>yes</x:v>
      </x:c>
      <x:c r="J68" s="49" t="str">
        <x:v>campus</x:v>
      </x:c>
      <x:c r="K68" s="49" t="str">
        <x:v>operating FY2024</x:v>
      </x:c>
      <x:c r="L68" s="49" t="str">
        <x:v>C_avg</x:v>
      </x:c>
      <x:c r="M68" s="54" t="n">
        <x:f>O68/366</x:f>
        <x:v>0.5666666666666667</x:v>
      </x:c>
      <x:c r="N68" s="49" t="str">
        <x:v>MGD</x:v>
      </x:c>
      <x:c r="O68" s="55" t="n">
        <x:v>207.4</x:v>
      </x:c>
      <x:c r="P68" s="49" t="str">
        <x:v>Mgal per FY2024</x:v>
      </x:c>
      <x:c r="Q68" s="51" t="str">
        <x:v>R</x:v>
      </x:c>
      <x:c r="R68" s="49" t="str">
        <x:v>Google 2025 Environmental Report</x:v>
      </x:c>
      <x:c r="S68" s="49" t="n">
        <x:v>2025</x:v>
      </x:c>
      <x:c r="T68" s="49" t="str">
        <x:v>page 110</x:v>
      </x:c>
      <x:c r="U68" s="49" t="str">
        <x:v>FY2024 annual actual divided by 366 days</x:v>
      </x:c>
      <x:c r="V68" s="49" t="str">
        <x:v>mixed or unknown</x:v>
      </x:c>
      <x:c r="W68" s="49" t="str">
        <x:v>Henderson campus</x:v>
      </x:c>
      <x:c r="X68" s="49" t="str">
        <x:v>not applicable</x:v>
      </x:c>
      <x:c r="Y68" s="49" t="str">
        <x:v>regional</x:v>
      </x:c>
      <x:c r="Z68" s="49" t="str">
        <x:v>verified_local</x:v>
      </x:c>
      <x:c r="AA68" s="49"/>
      <x:c r="AB68" s="49"/>
      <x:c r="AC68" s="49"/>
      <x:c r="AD68" s="49" t="str">
        <x:v>regional_scenario_only</x:v>
      </x:c>
      <x:c r="AE68" s="49" t="str">
        <x:v>No inference is made about discharge reuse.</x:v>
      </x:c>
    </x:row>
    <x:row r="69">
      <x:c r="A69" s="52" t="str">
        <x:v>henderson_nv</x:v>
      </x:c>
      <x:c r="B69" s="52" t="str">
        <x:v>Henderson</x:v>
      </x:c>
      <x:c r="C69" s="52" t="str">
        <x:v>NV</x:v>
      </x:c>
      <x:c r="D69" s="52" t="str">
        <x:v>Google</x:v>
      </x:c>
      <x:c r="E69" s="52" t="str">
        <x:v>henderson_fy2024_regional_gross_capacity</x:v>
      </x:c>
      <x:c r="F69" s="52" t="str">
        <x:v>FY2024 campus against 900 MGD SNWA regional gross capacity</x:v>
      </x:c>
      <x:c r="G69" s="52" t="str">
        <x:v>regional_denominator_scenario</x:v>
      </x:c>
      <x:c r="H69" s="52" t="str">
        <x:v>yes</x:v>
      </x:c>
      <x:c r="I69" s="52" t="str">
        <x:v>yes</x:v>
      </x:c>
      <x:c r="J69" s="52" t="str">
        <x:v>campus</x:v>
      </x:c>
      <x:c r="K69" s="52" t="str">
        <x:v>operating FY2024</x:v>
      </x:c>
      <x:c r="L69" s="52" t="str">
        <x:v>PF_shared</x:v>
      </x:c>
      <x:c r="M69" s="50" t="n">
        <x:v>2.5</x:v>
      </x:c>
      <x:c r="N69" s="52" t="str">
        <x:v>dimensionless</x:v>
      </x:c>
      <x:c r="O69" s="52" t="n">
        <x:v>2.5</x:v>
      </x:c>
      <x:c r="P69" s="52" t="str">
        <x:v>dimensionless</x:v>
      </x:c>
      <x:c r="Q69" s="53" t="str">
        <x:v>A</x:v>
      </x:c>
      <x:c r="R69" s="52" t="str">
        <x:v>Author-assumed warm-climate default</x:v>
      </x:c>
      <x:c r="S69" s="52" t="n">
        <x:v>2026</x:v>
      </x:c>
      <x:c r="T69" s="52" t="str">
        <x:v>WCI input documentation</x:v>
      </x:c>
      <x:c r="U69" s="52" t="str">
        <x:v>author-selected planning scenario</x:v>
      </x:c>
      <x:c r="V69" s="52" t="str">
        <x:v>unknown</x:v>
      </x:c>
      <x:c r="W69" s="52" t="str">
        <x:v>not site specific</x:v>
      </x:c>
      <x:c r="X69" s="52" t="str">
        <x:v>not applicable</x:v>
      </x:c>
      <x:c r="Y69" s="52" t="str">
        <x:v>regional</x:v>
      </x:c>
      <x:c r="Z69" s="52" t="str">
        <x:v>author_assumption</x:v>
      </x:c>
      <x:c r="AA69" s="52"/>
      <x:c r="AB69" s="52"/>
      <x:c r="AC69" s="52"/>
      <x:c r="AD69" s="52" t="str">
        <x:v>regional_scenario_only</x:v>
      </x:c>
      <x:c r="AE69" s="52" t="str">
        <x:v>No Henderson site PF evidence.</x:v>
      </x:c>
    </x:row>
    <x:row r="70">
      <x:c r="A70" s="49" t="str">
        <x:v>henderson_nv</x:v>
      </x:c>
      <x:c r="B70" s="49" t="str">
        <x:v>Henderson</x:v>
      </x:c>
      <x:c r="C70" s="49" t="str">
        <x:v>NV</x:v>
      </x:c>
      <x:c r="D70" s="49" t="str">
        <x:v>Google</x:v>
      </x:c>
      <x:c r="E70" s="49" t="str">
        <x:v>henderson_fy2024_regional_gross_capacity</x:v>
      </x:c>
      <x:c r="F70" s="49" t="str">
        <x:v>FY2024 campus against 900 MGD SNWA regional gross capacity</x:v>
      </x:c>
      <x:c r="G70" s="49" t="str">
        <x:v>regional_denominator_scenario</x:v>
      </x:c>
      <x:c r="H70" s="49" t="str">
        <x:v>yes</x:v>
      </x:c>
      <x:c r="I70" s="49" t="str">
        <x:v>yes</x:v>
      </x:c>
      <x:c r="J70" s="49" t="str">
        <x:v>campus</x:v>
      </x:c>
      <x:c r="K70" s="49" t="str">
        <x:v>operating FY2024</x:v>
      </x:c>
      <x:c r="L70" s="49" t="str">
        <x:v>K</x:v>
      </x:c>
      <x:c r="M70" s="50" t="n">
        <x:v>900</x:v>
      </x:c>
      <x:c r="N70" s="49" t="str">
        <x:v>MGD</x:v>
      </x:c>
      <x:c r="O70" s="49" t="str">
        <x:v>600 + 300</x:v>
      </x:c>
      <x:c r="P70" s="49" t="str">
        <x:v>MGD</x:v>
      </x:c>
      <x:c r="Q70" s="51" t="str">
        <x:v>M</x:v>
      </x:c>
      <x:c r="R70" s="49" t="str">
        <x:v>Southern Nevada Water Authority regional water-system records</x:v>
      </x:c>
      <x:c r="S70" s="49" t="str">
        <x:v>2024-2026</x:v>
      </x:c>
      <x:c r="T70" s="49" t="str">
        <x:v>600 MGD Alfred Merritt Smith plus 300 MGD River Mountains</x:v>
      </x:c>
      <x:c r="U70" s="49" t="str">
        <x:v>regional gross treatment and conveyance capacity</x:v>
      </x:c>
      <x:c r="V70" s="49" t="str">
        <x:v>Colorado River or Lake Mead surface water</x:v>
      </x:c>
      <x:c r="W70" s="49" t="str">
        <x:v>SNWA regional system</x:v>
      </x:c>
      <x:c r="X70" s="49" t="str">
        <x:v>regional gross capacity</x:v>
      </x:c>
      <x:c r="Y70" s="49" t="str">
        <x:v>regional</x:v>
      </x:c>
      <x:c r="Z70" s="49" t="str">
        <x:v>authoritative_current</x:v>
      </x:c>
      <x:c r="AA70" s="49"/>
      <x:c r="AB70" s="49"/>
      <x:c r="AC70" s="49"/>
      <x:c r="AD70" s="49" t="str">
        <x:v>regional_scenario_only</x:v>
      </x:c>
      <x:c r="AE70" s="49" t="str">
        <x:v>Not Henderson distribution capacity, allocation, headroom, or hydrologic scarcity.</x:v>
      </x:c>
    </x:row>
  </x:sheetData>
  <x:mergeCells>
    <x:mergeCell ref="A1:AE1"/>
    <x:mergeCell ref="A2:AE2"/>
    <x:mergeCell ref="A17:AE17"/>
    <x:mergeCell ref="A18:AE18"/>
  </x:mergeCells>
  <x:dataValidations count="51">
    <x:dataValidation type="decimal" operator="between" sqref="M20">
      <x:formula1>0</x:formula1>
      <x:formula2>1000000000000</x:formula2>
    </x:dataValidation>
    <x:dataValidation type="decimal" operator="between" sqref="M21">
      <x:formula1>0</x:formula1>
      <x:formula2>1</x:formula2>
    </x:dataValidation>
    <x:dataValidation type="decimal" operator="between" sqref="M22">
      <x:formula1>1e-12</x:formula1>
      <x:formula2>1000000000000</x:formula2>
    </x:dataValidation>
    <x:dataValidation type="decimal" operator="between" sqref="M23">
      <x:formula1>0</x:formula1>
      <x:formula2>1000000000000</x:formula2>
    </x:dataValidation>
    <x:dataValidation type="decimal" operator="between" sqref="M24">
      <x:formula1>0</x:formula1>
      <x:formula2>1</x:formula2>
    </x:dataValidation>
    <x:dataValidation type="decimal" operator="between" sqref="M25">
      <x:formula1>1e-12</x:formula1>
      <x:formula2>1000000000000</x:formula2>
    </x:dataValidation>
    <x:dataValidation type="decimal" operator="between" sqref="O26">
      <x:formula1>0</x:formula1>
      <x:formula2>1000000000000</x:formula2>
    </x:dataValidation>
    <x:dataValidation type="decimal" operator="between" sqref="O27">
      <x:formula1>0</x:formula1>
      <x:formula2>1000000000000</x:formula2>
    </x:dataValidation>
    <x:dataValidation type="decimal" operator="between" sqref="M28">
      <x:formula1>1</x:formula1>
      <x:formula2>100</x:formula2>
    </x:dataValidation>
    <x:dataValidation type="decimal" operator="between" sqref="M29">
      <x:formula1>1e-12</x:formula1>
      <x:formula2>1000000000000</x:formula2>
    </x:dataValidation>
    <x:dataValidation type="decimal" operator="between" sqref="O30">
      <x:formula1>0</x:formula1>
      <x:formula2>1000000000000</x:formula2>
    </x:dataValidation>
    <x:dataValidation type="decimal" operator="between" sqref="O31">
      <x:formula1>0</x:formula1>
      <x:formula2>1000000000000</x:formula2>
    </x:dataValidation>
    <x:dataValidation type="decimal" operator="between" sqref="M32">
      <x:formula1>1</x:formula1>
      <x:formula2>100</x:formula2>
    </x:dataValidation>
    <x:dataValidation type="decimal" operator="between" sqref="M33">
      <x:formula1>1e-12</x:formula1>
      <x:formula2>1000000000000</x:formula2>
    </x:dataValidation>
    <x:dataValidation type="decimal" operator="between" sqref="O34">
      <x:formula1>0</x:formula1>
      <x:formula2>1000000000000</x:formula2>
    </x:dataValidation>
    <x:dataValidation type="decimal" operator="between" sqref="O35">
      <x:formula1>0</x:formula1>
      <x:formula2>1000000000000</x:formula2>
    </x:dataValidation>
    <x:dataValidation type="decimal" operator="between" sqref="M36">
      <x:formula1>1</x:formula1>
      <x:formula2>100</x:formula2>
    </x:dataValidation>
    <x:dataValidation type="decimal" operator="between" sqref="M37">
      <x:formula1>1e-12</x:formula1>
      <x:formula2>1000000000000</x:formula2>
    </x:dataValidation>
    <x:dataValidation type="decimal" operator="between" sqref="O38">
      <x:formula1>0</x:formula1>
      <x:formula2>1000000000000</x:formula2>
    </x:dataValidation>
    <x:dataValidation type="decimal" operator="between" sqref="O39">
      <x:formula1>0</x:formula1>
      <x:formula2>1000000000000</x:formula2>
    </x:dataValidation>
    <x:dataValidation type="decimal" operator="between" sqref="M40">
      <x:formula1>1</x:formula1>
      <x:formula2>100</x:formula2>
    </x:dataValidation>
    <x:dataValidation type="decimal" operator="between" sqref="M41">
      <x:formula1>1e-12</x:formula1>
      <x:formula2>1000000000000</x:formula2>
    </x:dataValidation>
    <x:dataValidation type="decimal" operator="between" sqref="O42">
      <x:formula1>0</x:formula1>
      <x:formula2>1000000000000</x:formula2>
    </x:dataValidation>
    <x:dataValidation type="decimal" operator="between" sqref="O43">
      <x:formula1>0</x:formula1>
      <x:formula2>1000000000000</x:formula2>
    </x:dataValidation>
    <x:dataValidation type="decimal" operator="between" sqref="M44">
      <x:formula1>1</x:formula1>
      <x:formula2>100</x:formula2>
    </x:dataValidation>
    <x:dataValidation type="decimal" operator="between" sqref="M45">
      <x:formula1>1e-12</x:formula1>
      <x:formula2>1000000000000</x:formula2>
    </x:dataValidation>
    <x:dataValidation type="decimal" operator="between" sqref="O46">
      <x:formula1>0</x:formula1>
      <x:formula2>1000000000000</x:formula2>
    </x:dataValidation>
    <x:dataValidation type="decimal" operator="between" sqref="M47">
      <x:formula1>0</x:formula1>
      <x:formula2>1</x:formula2>
    </x:dataValidation>
    <x:dataValidation type="decimal" operator="between" sqref="M48">
      <x:formula1>1</x:formula1>
      <x:formula2>100</x:formula2>
    </x:dataValidation>
    <x:dataValidation type="decimal" operator="between" sqref="M49">
      <x:formula1>1e-12</x:formula1>
      <x:formula2>1000000000000</x:formula2>
    </x:dataValidation>
    <x:dataValidation type="decimal" operator="between" sqref="M50">
      <x:formula1>0</x:formula1>
      <x:formula2>1000000000000</x:formula2>
    </x:dataValidation>
    <x:dataValidation type="decimal" operator="between" sqref="M51">
      <x:formula1>0</x:formula1>
      <x:formula2>1000000000000</x:formula2>
    </x:dataValidation>
    <x:dataValidation type="decimal" operator="between" sqref="M52">
      <x:formula1>0</x:formula1>
      <x:formula2>1</x:formula2>
    </x:dataValidation>
    <x:dataValidation type="decimal" operator="between" sqref="M53">
      <x:formula1>1e-12</x:formula1>
      <x:formula2>1000000000000</x:formula2>
    </x:dataValidation>
    <x:dataValidation type="decimal" operator="between" sqref="M54">
      <x:formula1>0</x:formula1>
      <x:formula2>1000000000000</x:formula2>
    </x:dataValidation>
    <x:dataValidation type="decimal" operator="between" sqref="M55">
      <x:formula1>0</x:formula1>
      <x:formula2>1</x:formula2>
    </x:dataValidation>
    <x:dataValidation type="decimal" operator="between" sqref="M56">
      <x:formula1>1e-12</x:formula1>
      <x:formula2>1000000000000</x:formula2>
    </x:dataValidation>
    <x:dataValidation type="decimal" operator="between" sqref="M57">
      <x:formula1>0</x:formula1>
      <x:formula2>1000000000000</x:formula2>
    </x:dataValidation>
    <x:dataValidation type="decimal" operator="between" sqref="M58">
      <x:formula1>0</x:formula1>
      <x:formula2>1</x:formula2>
    </x:dataValidation>
    <x:dataValidation type="decimal" operator="between" sqref="M59">
      <x:formula1>1e-12</x:formula1>
      <x:formula2>1000000000000</x:formula2>
    </x:dataValidation>
    <x:dataValidation type="decimal" operator="between" sqref="M60">
      <x:formula1>0</x:formula1>
      <x:formula2>1000000000000</x:formula2>
    </x:dataValidation>
    <x:dataValidation type="decimal" operator="between" sqref="M61">
      <x:formula1>0</x:formula1>
      <x:formula2>1</x:formula2>
    </x:dataValidation>
    <x:dataValidation type="decimal" operator="between" sqref="M62">
      <x:formula1>1e-12</x:formula1>
      <x:formula2>1000000000000</x:formula2>
    </x:dataValidation>
    <x:dataValidation type="decimal" operator="between" sqref="O63">
      <x:formula1>0</x:formula1>
      <x:formula2>1000000000000</x:formula2>
    </x:dataValidation>
    <x:dataValidation type="decimal" operator="between" sqref="O64">
      <x:formula1>0</x:formula1>
      <x:formula2>1000000000000</x:formula2>
    </x:dataValidation>
    <x:dataValidation type="decimal" operator="between" sqref="M65">
      <x:formula1>1</x:formula1>
      <x:formula2>100</x:formula2>
    </x:dataValidation>
    <x:dataValidation type="decimal" operator="between" sqref="M66">
      <x:formula1>1e-12</x:formula1>
      <x:formula2>1000000000000</x:formula2>
    </x:dataValidation>
    <x:dataValidation type="decimal" operator="between" sqref="O67">
      <x:formula1>0</x:formula1>
      <x:formula2>1000000000000</x:formula2>
    </x:dataValidation>
    <x:dataValidation type="decimal" operator="between" sqref="O68">
      <x:formula1>0</x:formula1>
      <x:formula2>1000000000000</x:formula2>
    </x:dataValidation>
    <x:dataValidation type="decimal" operator="between" sqref="M69">
      <x:formula1>1</x:formula1>
      <x:formula2>100</x:formula2>
    </x:dataValidation>
    <x:dataValidation type="decimal" operator="between" sqref="M70">
      <x:formula1>1e-12</x:formula1>
      <x:formula2>1000000000000</x:formula2>
    </x:dataValidation>
  </x:dataValidations>
  <x:pageMargins left="0.7" right="0.7" top="0.75" bottom="0.75" header="0.3" footer="0.3"/>
  <x:tableParts count="1">
    <x:tablePart xmlns:r="http://schemas.openxmlformats.org/officeDocument/2006/relationships" r:id="R62e4f86a91ef428c"/>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14" hidden="0" customWidth="1"/>
    <x:col min="3" max="3" width="14" hidden="0" customWidth="1"/>
    <x:col min="4" max="4" width="11" hidden="0" customWidth="1"/>
    <x:col min="5" max="5" width="11" hidden="0" customWidth="1"/>
    <x:col min="6" max="6" width="15" hidden="0" customWidth="1"/>
    <x:col min="7" max="7" width="15" hidden="0" customWidth="1"/>
    <x:col min="8" max="8" width="13" hidden="0" customWidth="1"/>
    <x:col min="9" max="9" width="12" hidden="0" customWidth="1"/>
    <x:col min="10" max="10" width="12" hidden="0" customWidth="1"/>
    <x:col min="11" max="11" width="15" hidden="0" customWidth="1"/>
    <x:col min="12" max="12" width="25" hidden="0" customWidth="1"/>
    <x:col min="13" max="13" width="14" hidden="0" customWidth="1"/>
    <x:col min="14" max="14" width="26" hidden="0" customWidth="1"/>
    <x:col min="15" max="15" width="40" hidden="0" customWidth="1"/>
  </x:cols>
  <x:sheetData>
    <x:row r="1" ht="25" customHeight="1">
      <x:c r="A1" s="3" t="str">
        <x:v>Primary WCI and PDLR Calculations</x:v>
      </x:c>
      <x:c r="B1" s="3"/>
      <x:c r="C1" s="3"/>
      <x:c r="D1" s="3"/>
      <x:c r="E1" s="3"/>
      <x:c r="F1" s="3"/>
      <x:c r="G1" s="3"/>
      <x:c r="H1" s="3"/>
      <x:c r="I1" s="3"/>
      <x:c r="J1" s="3"/>
      <x:c r="K1" s="3"/>
      <x:c r="L1" s="3"/>
      <x:c r="M1" s="3"/>
      <x:c r="N1" s="3"/>
      <x:c r="O1" s="3"/>
    </x:row>
    <x:row r="2" ht="21" customHeight="1">
      <x:c r="A2" s="6" t="str">
        <x:v>WCI = C_peak / K and PDLR = W_peak / K. Direct-peak cases do not receive an additional peaking factor.</x:v>
      </x:c>
      <x:c r="B2" s="6"/>
      <x:c r="C2" s="6"/>
      <x:c r="D2" s="6"/>
      <x:c r="E2" s="6"/>
      <x:c r="F2" s="6"/>
      <x:c r="G2" s="6"/>
      <x:c r="H2" s="6"/>
      <x:c r="I2" s="6"/>
      <x:c r="J2" s="6"/>
      <x:c r="K2" s="6"/>
      <x:c r="L2" s="6"/>
      <x:c r="M2" s="6"/>
      <x:c r="N2" s="6"/>
      <x:c r="O2" s="6"/>
    </x:row>
    <x:row r="3">
      <x:c r="A3" s="32"/>
      <x:c r="B3" s="32"/>
      <x:c r="C3" s="32"/>
      <x:c r="D3" s="32"/>
      <x:c r="E3" s="32"/>
      <x:c r="F3" s="32"/>
      <x:c r="G3" s="32"/>
      <x:c r="H3" s="32"/>
      <x:c r="I3" s="32"/>
      <x:c r="J3" s="32"/>
      <x:c r="K3" s="32"/>
      <x:c r="L3" s="32"/>
      <x:c r="M3" s="32"/>
      <x:c r="N3" s="32"/>
      <x:c r="O3" s="32"/>
    </x:row>
    <x:row r="4">
      <x:c r="A4" s="21" t="str">
        <x:v>Site</x:v>
      </x:c>
      <x:c r="B4" s="21" t="str">
        <x:v>Branch</x:v>
      </x:c>
      <x:c r="C4" s="21" t="str">
        <x:v>W_avg / K</x:v>
      </x:c>
      <x:c r="D4" s="21" t="str">
        <x:v>r</x:v>
      </x:c>
      <x:c r="E4" s="21" t="str">
        <x:v>PF</x:v>
      </x:c>
      <x:c r="F4" s="21" t="str">
        <x:v>W_peak (MGD)</x:v>
      </x:c>
      <x:c r="G4" s="21" t="str">
        <x:v>C_peak (MGD)</x:v>
      </x:c>
      <x:c r="H4" s="21" t="str">
        <x:v>K (MGD)</x:v>
      </x:c>
      <x:c r="I4" s="21" t="str">
        <x:v>WCI</x:v>
      </x:c>
      <x:c r="J4" s="21" t="str">
        <x:v>PDLR</x:v>
      </x:c>
      <x:c r="K4" s="21" t="str">
        <x:v>Identity residual</x:v>
      </x:c>
      <x:c r="L4" s="21" t="str">
        <x:v>Evidence</x:v>
      </x:c>
      <x:c r="M4" s="21" t="str">
        <x:v>Boundary</x:v>
      </x:c>
      <x:c r="N4" s="21" t="str">
        <x:v>Rank status</x:v>
      </x:c>
      <x:c r="O4" s="21" t="str">
        <x:v>Scenario interpretation</x:v>
      </x:c>
    </x:row>
    <x:row r="5" ht="38" customHeight="1">
      <x:c r="A5" s="24" t="str">
        <x:f>'1. Inputs &amp; Evidence'!A5</x:f>
        <x:v>Lebanon</x:v>
      </x:c>
      <x:c r="B5" s="24" t="str">
        <x:f>'1. Inputs &amp; Evidence'!E5</x:f>
        <x:v>direct_peak</x:v>
      </x:c>
      <x:c r="C5" s="35" t="str">
        <x:f>IF(OR('1. Inputs &amp; Evidence'!F5="",'1. Inputs &amp; Evidence'!K5="",'1. Inputs &amp; Evidence'!K5&lt;=0),"",'1. Inputs &amp; Evidence'!F5/'1. Inputs &amp; Evidence'!K5)</x:f>
      </x:c>
      <x:c r="D5" s="35" t="n">
        <x:f>IF('1. Inputs &amp; Evidence'!I5="","",'1. Inputs &amp; Evidence'!I5)</x:f>
        <x:v>0.77</x:v>
      </x:c>
      <x:c r="E5" s="35" t="str">
        <x:f>IF('1. Inputs &amp; Evidence'!J5="","",'1. Inputs &amp; Evidence'!J5)</x:f>
      </x:c>
      <x:c r="F5" s="35" t="n">
        <x:f>IF('1. Inputs &amp; Evidence'!L5="","",'1. Inputs &amp; Evidence'!L5)</x:f>
        <x:v>8</x:v>
      </x:c>
      <x:c r="G5" s="35" t="n">
        <x:f>IF('1. Inputs &amp; Evidence'!M5="","",'1. Inputs &amp; Evidence'!M5)</x:f>
        <x:v>6.16</x:v>
      </x:c>
      <x:c r="H5" s="35" t="n">
        <x:f>IF('1. Inputs &amp; Evidence'!K5="","",'1. Inputs &amp; Evidence'!K5)</x:f>
        <x:v>4.6</x:v>
      </x:c>
      <x:c r="I5" s="37" t="n">
        <x:f>IF('1. Inputs &amp; Evidence'!N5="","",'1. Inputs &amp; Evidence'!N5)</x:f>
        <x:v>1.3391304347826087</x:v>
      </x:c>
      <x:c r="J5" s="37" t="n">
        <x:f>IF('1. Inputs &amp; Evidence'!O5="","",'1. Inputs &amp; Evidence'!O5)</x:f>
        <x:v>1.7391304347826089</x:v>
      </x:c>
      <x:c r="K5" s="39" t="n">
        <x:f>IF(OR('1. Inputs &amp; Evidence'!N5="",'1. Inputs &amp; Evidence'!I5="",'1. Inputs &amp; Evidence'!O5=""),"",'1. Inputs &amp; Evidence'!P5)</x:f>
        <x:v>-2.220446049250313e-16</x:v>
      </x:c>
      <x:c r="L5" s="28" t="str">
        <x:f>'1. Inputs &amp; Evidence'!Q5</x:f>
        <x:v>W_peak:P; r_peak:T; K:M</x:v>
      </x:c>
      <x:c r="M5" s="28" t="str">
        <x:f>'1. Inputs &amp; Evidence'!R5</x:f>
        <x:v>conditional</x:v>
      </x:c>
      <x:c r="N5" s="28" t="str">
        <x:f>'1. Inputs &amp; Evidence'!S5</x:f>
        <x:v>scenario_only</x:v>
      </x:c>
      <x:c r="O5" s="28" t="str">
        <x:f>'1. Inputs &amp; Evidence'!D5</x:f>
        <x:v>lebanon_tier3_existing_system_counterfactual</x:v>
      </x:c>
    </x:row>
    <x:row r="6" ht="38" customHeight="1">
      <x:c r="A6" s="25" t="str">
        <x:f>'1. Inputs &amp; Evidence'!A6</x:f>
        <x:v>Council Bluffs</x:v>
      </x:c>
      <x:c r="B6" s="25" t="str">
        <x:f>'1. Inputs &amp; Evidence'!E6</x:f>
        <x:v>average_flow</x:v>
      </x:c>
      <x:c r="C6" s="36" t="n">
        <x:f>IF(OR('1. Inputs &amp; Evidence'!F6="",'1. Inputs &amp; Evidence'!K6="",'1. Inputs &amp; Evidence'!K6&lt;=0),"",'1. Inputs &amp; Evidence'!F6/'1. Inputs &amp; Evidence'!K6)</x:f>
        <x:v>0.12844262295081968</x:v>
      </x:c>
      <x:c r="D6" s="36" t="n">
        <x:f>IF('1. Inputs &amp; Evidence'!I6="","",'1. Inputs &amp; Evidence'!I6)</x:f>
        <x:v>0.716301496135574</x:v>
      </x:c>
      <x:c r="E6" s="36" t="n">
        <x:f>IF('1. Inputs &amp; Evidence'!J6="","",'1. Inputs &amp; Evidence'!J6)</x:f>
        <x:v>6.5</x:v>
      </x:c>
      <x:c r="F6" s="36" t="n">
        <x:f>IF('1. Inputs &amp; Evidence'!L6="","",'1. Inputs &amp; Evidence'!L6)</x:f>
        <x:v>25.046311475409837</x:v>
      </x:c>
      <x:c r="G6" s="36" t="n">
        <x:f>IF('1. Inputs &amp; Evidence'!M6="","",'1. Inputs &amp; Evidence'!M6)</x:f>
        <x:v>17.940710382513664</x:v>
      </x:c>
      <x:c r="H6" s="36" t="n">
        <x:f>IF('1. Inputs &amp; Evidence'!K6="","",'1. Inputs &amp; Evidence'!K6)</x:f>
        <x:v>30</x:v>
      </x:c>
      <x:c r="I6" s="38" t="n">
        <x:f>IF('1. Inputs &amp; Evidence'!N6="","",'1. Inputs &amp; Evidence'!N6)</x:f>
        <x:v>0.5980236794171222</x:v>
      </x:c>
      <x:c r="J6" s="38" t="n">
        <x:f>IF('1. Inputs &amp; Evidence'!O6="","",'1. Inputs &amp; Evidence'!O6)</x:f>
        <x:v>0.8348770491803279</x:v>
      </x:c>
      <x:c r="K6" s="40" t="n">
        <x:f>IF(OR('1. Inputs &amp; Evidence'!N6="",'1. Inputs &amp; Evidence'!I6="",'1. Inputs &amp; Evidence'!O6=""),"",'1. Inputs &amp; Evidence'!P6)</x:f>
        <x:v>1.1102230246251565e-16</x:v>
      </x:c>
      <x:c r="L6" s="29" t="str">
        <x:f>'1. Inputs &amp; Evidence'!Q6</x:f>
        <x:v>W_avg:R; C_avg:R; PF_shared:T; K:R</x:v>
      </x:c>
      <x:c r="M6" s="29" t="str">
        <x:f>'1. Inputs &amp; Evidence'!R6</x:f>
        <x:v>conditional</x:v>
      </x:c>
      <x:c r="N6" s="29" t="str">
        <x:f>'1. Inputs &amp; Evidence'!S6</x:f>
        <x:v>conditional_scenario</x:v>
      </x:c>
      <x:c r="O6" s="29" t="str">
        <x:f>'1. Inputs &amp; Evidence'!D6</x:f>
        <x:v>council_bluffs_fy2024_combined_nominal_k</x:v>
      </x:c>
    </x:row>
    <x:row r="7" ht="38" customHeight="1">
      <x:c r="A7" s="24" t="str">
        <x:f>'1. Inputs &amp; Evidence'!A7</x:f>
        <x:v>Mayes County</x:v>
      </x:c>
      <x:c r="B7" s="24" t="str">
        <x:f>'1. Inputs &amp; Evidence'!E7</x:f>
        <x:v>average_flow</x:v>
      </x:c>
      <x:c r="C7" s="35" t="n">
        <x:f>IF(OR('1. Inputs &amp; Evidence'!F7="",'1. Inputs &amp; Evidence'!K7="",'1. Inputs &amp; Evidence'!K7&lt;=0),"",'1. Inputs &amp; Evidence'!F7/'1. Inputs &amp; Evidence'!K7)</x:f>
        <x:v>0.06056284153005464</x:v>
      </x:c>
      <x:c r="D7" s="35" t="n">
        <x:f>IF('1. Inputs &amp; Evidence'!I7="","",'1. Inputs &amp; Evidence'!I7)</x:f>
        <x:v>0.7517820084814583</x:v>
      </x:c>
      <x:c r="E7" s="35" t="n">
        <x:f>IF('1. Inputs &amp; Evidence'!J7="","",'1. Inputs &amp; Evidence'!J7)</x:f>
        <x:v>2.5</x:v>
      </x:c>
      <x:c r="F7" s="35" t="n">
        <x:f>IF('1. Inputs &amp; Evidence'!L7="","",'1. Inputs &amp; Evidence'!L7)</x:f>
        <x:v>7.57035519125683</x:v>
      </x:c>
      <x:c r="G7" s="35" t="n">
        <x:f>IF('1. Inputs &amp; Evidence'!M7="","",'1. Inputs &amp; Evidence'!M7)</x:f>
        <x:v>5.691256830601094</x:v>
      </x:c>
      <x:c r="H7" s="35" t="n">
        <x:f>IF('1. Inputs &amp; Evidence'!K7="","",'1. Inputs &amp; Evidence'!K7)</x:f>
        <x:v>50</x:v>
      </x:c>
      <x:c r="I7" s="37" t="n">
        <x:f>IF('1. Inputs &amp; Evidence'!N7="","",'1. Inputs &amp; Evidence'!N7)</x:f>
        <x:v>0.11382513661202187</x:v>
      </x:c>
      <x:c r="J7" s="37" t="n">
        <x:f>IF('1. Inputs &amp; Evidence'!O7="","",'1. Inputs &amp; Evidence'!O7)</x:f>
        <x:v>0.1514071038251366</x:v>
      </x:c>
      <x:c r="K7" s="39" t="n">
        <x:f>IF(OR('1. Inputs &amp; Evidence'!N7="",'1. Inputs &amp; Evidence'!I7="",'1. Inputs &amp; Evidence'!O7=""),"",'1. Inputs &amp; Evidence'!P7)</x:f>
        <x:v>-1.3877787807814457e-17</x:v>
      </x:c>
      <x:c r="L7" s="28" t="str">
        <x:f>'1. Inputs &amp; Evidence'!Q7</x:f>
        <x:v>W_avg:R; C_avg:R; PF_shared:A; K:M</x:v>
      </x:c>
      <x:c r="M7" s="28" t="str">
        <x:f>'1. Inputs &amp; Evidence'!R7</x:f>
        <x:v>conditional</x:v>
      </x:c>
      <x:c r="N7" s="28" t="str">
        <x:f>'1. Inputs &amp; Evidence'!S7</x:f>
        <x:v>conditional_scenario</x:v>
      </x:c>
      <x:c r="O7" s="28" t="str">
        <x:f>'1. Inputs &amp; Evidence'!D7</x:f>
        <x:v>mayes_fy2024_nominal_k_default_pf</x:v>
      </x:c>
    </x:row>
    <x:row r="8" ht="38" customHeight="1">
      <x:c r="A8" s="25" t="str">
        <x:f>'1. Inputs &amp; Evidence'!A8</x:f>
        <x:v>The Dalles</x:v>
      </x:c>
      <x:c r="B8" s="25" t="str">
        <x:f>'1. Inputs &amp; Evidence'!E8</x:f>
        <x:v>average_flow</x:v>
      </x:c>
      <x:c r="C8" s="36" t="n">
        <x:f>IF(OR('1. Inputs &amp; Evidence'!F8="",'1. Inputs &amp; Evidence'!K8="",'1. Inputs &amp; Evidence'!K8&lt;=0),"",'1. Inputs &amp; Evidence'!F8/'1. Inputs &amp; Evidence'!K8)</x:f>
        <x:v>0.14480874316939893</x:v>
      </x:c>
      <x:c r="D8" s="36" t="n">
        <x:f>IF('1. Inputs &amp; Evidence'!I8="","",'1. Inputs &amp; Evidence'!I8)</x:f>
        <x:v>0.7837779223595748</x:v>
      </x:c>
      <x:c r="E8" s="36" t="n">
        <x:f>IF('1. Inputs &amp; Evidence'!J8="","",'1. Inputs &amp; Evidence'!J8)</x:f>
        <x:v>2.21</x:v>
      </x:c>
      <x:c r="F8" s="36" t="n">
        <x:f>IF('1. Inputs &amp; Evidence'!L8="","",'1. Inputs &amp; Evidence'!L8)</x:f>
        <x:v>2.784237704918033</x:v>
      </x:c>
      <x:c r="G8" s="36" t="n">
        <x:f>IF('1. Inputs &amp; Evidence'!M8="","",'1. Inputs &amp; Evidence'!M8)</x:f>
        <x:v>2.1822240437158467</x:v>
      </x:c>
      <x:c r="H8" s="36" t="n">
        <x:f>IF('1. Inputs &amp; Evidence'!K8="","",'1. Inputs &amp; Evidence'!K8)</x:f>
        <x:v>8.7</x:v>
      </x:c>
      <x:c r="I8" s="38" t="n">
        <x:f>IF('1. Inputs &amp; Evidence'!N8="","",'1. Inputs &amp; Evidence'!N8)</x:f>
        <x:v>0.25083034985239616</x:v>
      </x:c>
      <x:c r="J8" s="38" t="n">
        <x:f>IF('1. Inputs &amp; Evidence'!O8="","",'1. Inputs &amp; Evidence'!O8)</x:f>
        <x:v>0.32002732240437165</x:v>
      </x:c>
      <x:c r="K8" s="40" t="n">
        <x:f>IF(OR('1. Inputs &amp; Evidence'!N8="",'1. Inputs &amp; Evidence'!I8="",'1. Inputs &amp; Evidence'!O8=""),"",'1. Inputs &amp; Evidence'!P8)</x:f>
        <x:v>-5.551115123125783e-17</x:v>
      </x:c>
      <x:c r="L8" s="29" t="str">
        <x:f>'1. Inputs &amp; Evidence'!Q8</x:f>
        <x:v>W_avg:R; C_avg:R; PF_shared:R; K:M</x:v>
      </x:c>
      <x:c r="M8" s="29" t="str">
        <x:f>'1. Inputs &amp; Evidence'!R8</x:f>
        <x:v>conditional</x:v>
      </x:c>
      <x:c r="N8" s="29" t="str">
        <x:f>'1. Inputs &amp; Evidence'!S8</x:f>
        <x:v>conditional_scenario</x:v>
      </x:c>
      <x:c r="O8" s="29" t="str">
        <x:f>'1. Inputs &amp; Evidence'!D8</x:f>
        <x:v>the_dalles_fy2024_reliable_supply_k</x:v>
      </x:c>
    </x:row>
    <x:row r="9" ht="38" customHeight="1">
      <x:c r="A9" s="24" t="str">
        <x:f>'1. Inputs &amp; Evidence'!A9</x:f>
        <x:v>Douglas County</x:v>
      </x:c>
      <x:c r="B9" s="24" t="str">
        <x:f>'1. Inputs &amp; Evidence'!E9</x:f>
        <x:v>average_flow</x:v>
      </x:c>
      <x:c r="C9" s="35" t="n">
        <x:f>IF(OR('1. Inputs &amp; Evidence'!F9="",'1. Inputs &amp; Evidence'!K9="",'1. Inputs &amp; Evidence'!K9&lt;=0),"",'1. Inputs &amp; Evidence'!F9/'1. Inputs &amp; Evidence'!K9)</x:f>
        <x:v>0.39772313296903455</x:v>
      </x:c>
      <x:c r="D9" s="35" t="n">
        <x:f>IF('1. Inputs &amp; Evidence'!I9="","",'1. Inputs &amp; Evidence'!I9)</x:f>
        <x:v>0.8261652780905201</x:v>
      </x:c>
      <x:c r="E9" s="35" t="n">
        <x:f>IF('1. Inputs &amp; Evidence'!J9="","",'1. Inputs &amp; Evidence'!J9)</x:f>
        <x:v>2.5</x:v>
      </x:c>
      <x:c r="F9" s="35" t="n">
        <x:f>IF('1. Inputs &amp; Evidence'!L9="","",'1. Inputs &amp; Evidence'!L9)</x:f>
        <x:v>2.9829234972677594</x:v>
      </x:c>
      <x:c r="G9" s="35" t="n">
        <x:f>IF('1. Inputs &amp; Evidence'!M9="","",'1. Inputs &amp; Evidence'!M9)</x:f>
        <x:v>2.464387820642965</x:v>
      </x:c>
      <x:c r="H9" s="35" t="n">
        <x:f>IF('1. Inputs &amp; Evidence'!K9="","",'1. Inputs &amp; Evidence'!K9)</x:f>
        <x:v>3</x:v>
      </x:c>
      <x:c r="I9" s="37" t="n">
        <x:f>IF('1. Inputs &amp; Evidence'!N9="","",'1. Inputs &amp; Evidence'!N9)</x:f>
        <x:v>0.8214626068809884</x:v>
      </x:c>
      <x:c r="J9" s="37" t="n">
        <x:f>IF('1. Inputs &amp; Evidence'!O9="","",'1. Inputs &amp; Evidence'!O9)</x:f>
        <x:v>0.9943078324225865</x:v>
      </x:c>
      <x:c r="K9" s="39" t="n">
        <x:f>IF(OR('1. Inputs &amp; Evidence'!N9="",'1. Inputs &amp; Evidence'!I9="",'1. Inputs &amp; Evidence'!O9=""),"",'1. Inputs &amp; Evidence'!P9)</x:f>
        <x:v>0</x:v>
      </x:c>
      <x:c r="L9" s="28" t="str">
        <x:f>'1. Inputs &amp; Evidence'!Q9</x:f>
        <x:v>W_avg:R; r_avg:T; PF_shared:A; K:M</x:v>
      </x:c>
      <x:c r="M9" s="28" t="str">
        <x:f>'1. Inputs &amp; Evidence'!R9</x:f>
        <x:v>conditional</x:v>
      </x:c>
      <x:c r="N9" s="28" t="str">
        <x:f>'1. Inputs &amp; Evidence'!S9</x:f>
        <x:v>conditional_scenario</x:v>
      </x:c>
      <x:c r="O9" s="28" t="str">
        <x:f>'1. Inputs &amp; Evidence'!D9</x:f>
        <x:v>douglas_reclaimed_subsystem_wci_pdlr</x:v>
      </x:c>
    </x:row>
    <x:row r="10" ht="38" customHeight="1">
      <x:c r="A10" s="25" t="str">
        <x:f>'1. Inputs &amp; Evidence'!A10</x:f>
        <x:v>Wisconsin site</x:v>
      </x:c>
      <x:c r="B10" s="25" t="str">
        <x:f>'1. Inputs &amp; Evidence'!E10</x:f>
        <x:v>direct_peak</x:v>
      </x:c>
      <x:c r="C10" s="36" t="n">
        <x:f>IF(OR('1. Inputs &amp; Evidence'!F10="",'1. Inputs &amp; Evidence'!K10="",'1. Inputs &amp; Evidence'!K10&lt;=0),"",'1. Inputs &amp; Evidence'!F10/'1. Inputs &amp; Evidence'!K10)</x:f>
        <x:v>0.000575342465753425</x:v>
      </x:c>
      <x:c r="D10" s="36" t="n">
        <x:f>IF('1. Inputs &amp; Evidence'!I10="","",'1. Inputs &amp; Evidence'!I10)</x:f>
        <x:v>0.77</x:v>
      </x:c>
      <x:c r="E10" s="36" t="str">
        <x:f>IF('1. Inputs &amp; Evidence'!J10="","",'1. Inputs &amp; Evidence'!J10)</x:f>
      </x:c>
      <x:c r="F10" s="36" t="n">
        <x:f>IF('1. Inputs &amp; Evidence'!L10="","",'1. Inputs &amp; Evidence'!L10)</x:f>
        <x:v>0.702</x:v>
      </x:c>
      <x:c r="G10" s="36" t="n">
        <x:f>IF('1. Inputs &amp; Evidence'!M10="","",'1. Inputs &amp; Evidence'!M10)</x:f>
        <x:v>0.54054</x:v>
      </x:c>
      <x:c r="H10" s="36" t="n">
        <x:f>IF('1. Inputs &amp; Evidence'!K10="","",'1. Inputs &amp; Evidence'!K10)</x:f>
        <x:v>40</x:v>
      </x:c>
      <x:c r="I10" s="38" t="n">
        <x:f>IF('1. Inputs &amp; Evidence'!N10="","",'1. Inputs &amp; Evidence'!N10)</x:f>
        <x:v>0.013513500000000001</x:v>
      </x:c>
      <x:c r="J10" s="38" t="n">
        <x:f>IF('1. Inputs &amp; Evidence'!O10="","",'1. Inputs &amp; Evidence'!O10)</x:f>
        <x:v>0.01755</x:v>
      </x:c>
      <x:c r="K10" s="40" t="n">
        <x:f>IF(OR('1. Inputs &amp; Evidence'!N10="",'1. Inputs &amp; Evidence'!I10="",'1. Inputs &amp; Evidence'!O10=""),"",'1. Inputs &amp; Evidence'!P10)</x:f>
        <x:v>1.734723475976807e-18</x:v>
      </x:c>
      <x:c r="L10" s="29" t="str">
        <x:f>'1. Inputs &amp; Evidence'!Q10</x:f>
        <x:v>W_avg:R; W_peak:P; r_peak:T; K:M</x:v>
      </x:c>
      <x:c r="M10" s="29" t="str">
        <x:f>'1. Inputs &amp; Evidence'!R10</x:f>
        <x:v>conditional</x:v>
      </x:c>
      <x:c r="N10" s="29" t="str">
        <x:f>'1. Inputs &amp; Evidence'!S10</x:f>
        <x:v>conditional_confirmation_pending</x:v>
      </x:c>
      <x:c r="O10" s="29" t="str">
        <x:f>'1. Inputs &amp; Evidence'!D10</x:f>
        <x:v>wisconsin_40_mgd_2021_context</x:v>
      </x:c>
    </x:row>
    <x:row r="11" ht="38" customHeight="1">
      <x:c r="A11" s="24" t="str">
        <x:f>'1. Inputs &amp; Evidence'!A11</x:f>
        <x:v>Botetourt County</x:v>
      </x:c>
      <x:c r="B11" s="24" t="str">
        <x:f>'1. Inputs &amp; Evidence'!E11</x:f>
        <x:v>direct_peak</x:v>
      </x:c>
      <x:c r="C11" s="35" t="str">
        <x:f>IF(OR('1. Inputs &amp; Evidence'!F11="",'1. Inputs &amp; Evidence'!K11="",'1. Inputs &amp; Evidence'!K11&lt;=0),"",'1. Inputs &amp; Evidence'!F11/'1. Inputs &amp; Evidence'!K11)</x:f>
      </x:c>
      <x:c r="D11" s="35" t="n">
        <x:f>IF('1. Inputs &amp; Evidence'!I11="","",'1. Inputs &amp; Evidence'!I11)</x:f>
        <x:v>0.77</x:v>
      </x:c>
      <x:c r="E11" s="35" t="str">
        <x:f>IF('1. Inputs &amp; Evidence'!J11="","",'1. Inputs &amp; Evidence'!J11)</x:f>
      </x:c>
      <x:c r="F11" s="35" t="n">
        <x:f>IF('1. Inputs &amp; Evidence'!L11="","",'1. Inputs &amp; Evidence'!L11)</x:f>
        <x:v>2</x:v>
      </x:c>
      <x:c r="G11" s="35" t="n">
        <x:f>IF('1. Inputs &amp; Evidence'!M11="","",'1. Inputs &amp; Evidence'!M11)</x:f>
        <x:v>1.54</x:v>
      </x:c>
      <x:c r="H11" s="35" t="n">
        <x:f>IF('1. Inputs &amp; Evidence'!K11="","",'1. Inputs &amp; Evidence'!K11)</x:f>
        <x:v>24</x:v>
      </x:c>
      <x:c r="I11" s="37" t="n">
        <x:f>IF('1. Inputs &amp; Evidence'!N11="","",'1. Inputs &amp; Evidence'!N11)</x:f>
        <x:v>0.06416666666666666</x:v>
      </x:c>
      <x:c r="J11" s="37" t="n">
        <x:f>IF('1. Inputs &amp; Evidence'!O11="","",'1. Inputs &amp; Evidence'!O11)</x:f>
        <x:v>0.08333333333333333</x:v>
      </x:c>
      <x:c r="K11" s="39" t="n">
        <x:f>IF(OR('1. Inputs &amp; Evidence'!N11="",'1. Inputs &amp; Evidence'!I11="",'1. Inputs &amp; Evidence'!O11=""),"",'1. Inputs &amp; Evidence'!P11)</x:f>
        <x:v>0</x:v>
      </x:c>
      <x:c r="L11" s="28" t="str">
        <x:f>'1. Inputs &amp; Evidence'!Q11</x:f>
        <x:v>W_peak:P; r_peak:T; K:M</x:v>
      </x:c>
      <x:c r="M11" s="28" t="str">
        <x:f>'1. Inputs &amp; Evidence'!R11</x:f>
        <x:v>conditional</x:v>
      </x:c>
      <x:c r="N11" s="28" t="str">
        <x:f>'1. Inputs &amp; Evidence'!S11</x:f>
        <x:v>scenario_only</x:v>
      </x:c>
      <x:c r="O11" s="28" t="str">
        <x:f>'1. Inputs &amp; Evidence'!D11</x:f>
        <x:v>botetourt_peak_reservation_24_mgd_k</x:v>
      </x:c>
    </x:row>
    <x:row r="12" ht="38" customHeight="1">
      <x:c r="A12" s="25" t="str">
        <x:f>'1. Inputs &amp; Evidence'!A12</x:f>
        <x:v>Memphis</x:v>
      </x:c>
      <x:c r="B12" s="25" t="str">
        <x:f>'1. Inputs &amp; Evidence'!E12</x:f>
        <x:v>direct_peak</x:v>
      </x:c>
      <x:c r="C12" s="36" t="str">
        <x:f>IF(OR('1. Inputs &amp; Evidence'!F12="",'1. Inputs &amp; Evidence'!K12="",'1. Inputs &amp; Evidence'!K12&lt;=0),"",'1. Inputs &amp; Evidence'!F12/'1. Inputs &amp; Evidence'!K12)</x:f>
      </x:c>
      <x:c r="D12" s="36" t="n">
        <x:f>IF('1. Inputs &amp; Evidence'!I12="","",'1. Inputs &amp; Evidence'!I12)</x:f>
        <x:v>0.77</x:v>
      </x:c>
      <x:c r="E12" s="36" t="str">
        <x:f>IF('1. Inputs &amp; Evidence'!J12="","",'1. Inputs &amp; Evidence'!J12)</x:f>
      </x:c>
      <x:c r="F12" s="36" t="n">
        <x:f>IF('1. Inputs &amp; Evidence'!L12="","",'1. Inputs &amp; Evidence'!L12)</x:f>
        <x:v>1</x:v>
      </x:c>
      <x:c r="G12" s="36" t="n">
        <x:f>IF('1. Inputs &amp; Evidence'!M12="","",'1. Inputs &amp; Evidence'!M12)</x:f>
        <x:v>0.77</x:v>
      </x:c>
      <x:c r="H12" s="36" t="n">
        <x:f>IF('1. Inputs &amp; Evidence'!K12="","",'1. Inputs &amp; Evidence'!K12)</x:f>
        <x:v>30</x:v>
      </x:c>
      <x:c r="I12" s="38" t="n">
        <x:f>IF('1. Inputs &amp; Evidence'!N12="","",'1. Inputs &amp; Evidence'!N12)</x:f>
        <x:v>0.025666666666666667</x:v>
      </x:c>
      <x:c r="J12" s="38" t="n">
        <x:f>IF('1. Inputs &amp; Evidence'!O12="","",'1. Inputs &amp; Evidence'!O12)</x:f>
        <x:v>0.03333333333333333</x:v>
      </x:c>
      <x:c r="K12" s="40" t="n">
        <x:f>IF(OR('1. Inputs &amp; Evidence'!N12="",'1. Inputs &amp; Evidence'!I12="",'1. Inputs &amp; Evidence'!O12=""),"",'1. Inputs &amp; Evidence'!P12)</x:f>
        <x:v>0</x:v>
      </x:c>
      <x:c r="L12" s="29" t="str">
        <x:f>'1. Inputs &amp; Evidence'!Q12</x:f>
        <x:v>W_peak:P; r_peak:T; K:M</x:v>
      </x:c>
      <x:c r="M12" s="29" t="str">
        <x:f>'1. Inputs &amp; Evidence'!R12</x:f>
        <x:v>conditional</x:v>
      </x:c>
      <x:c r="N12" s="29" t="str">
        <x:f>'1. Inputs &amp; Evidence'!S12</x:f>
        <x:v>scenario_only</x:v>
      </x:c>
      <x:c r="O12" s="29" t="str">
        <x:f>'1. Inputs &amp; Evidence'!D12</x:f>
        <x:v>memphis_peak_serving_plant_30</x:v>
      </x:c>
    </x:row>
    <x:row r="13" ht="38" customHeight="1">
      <x:c r="A13" s="24" t="str">
        <x:f>'1. Inputs &amp; Evidence'!A13</x:f>
        <x:v>Midlothian</x:v>
      </x:c>
      <x:c r="B13" s="24" t="str">
        <x:f>'1. Inputs &amp; Evidence'!E13</x:f>
        <x:v>average_flow</x:v>
      </x:c>
      <x:c r="C13" s="35" t="n">
        <x:f>IF(OR('1. Inputs &amp; Evidence'!F13="",'1. Inputs &amp; Evidence'!K13="",'1. Inputs &amp; Evidence'!K13&lt;=0),"",'1. Inputs &amp; Evidence'!F13/'1. Inputs &amp; Evidence'!K13)</x:f>
        <x:v>0.016772920461445052</x:v>
      </x:c>
      <x:c r="D13" s="35" t="n">
        <x:f>IF('1. Inputs &amp; Evidence'!I13="","",'1. Inputs &amp; Evidence'!I13)</x:f>
        <x:v>0.8248868778280544</x:v>
      </x:c>
      <x:c r="E13" s="35" t="n">
        <x:f>IF('1. Inputs &amp; Evidence'!J13="","",'1. Inputs &amp; Evidence'!J13)</x:f>
        <x:v>2.5</x:v>
      </x:c>
      <x:c r="F13" s="35" t="n">
        <x:f>IF('1. Inputs &amp; Evidence'!L13="","",'1. Inputs &amp; Evidence'!L13)</x:f>
        <x:v>1.5095628415300546</x:v>
      </x:c>
      <x:c r="G13" s="35" t="n">
        <x:f>IF('1. Inputs &amp; Evidence'!M13="","",'1. Inputs &amp; Evidence'!M13)</x:f>
        <x:v>1.2452185792349728</x:v>
      </x:c>
      <x:c r="H13" s="35" t="n">
        <x:f>IF('1. Inputs &amp; Evidence'!K13="","",'1. Inputs &amp; Evidence'!K13)</x:f>
        <x:v>36</x:v>
      </x:c>
      <x:c r="I13" s="37" t="n">
        <x:f>IF('1. Inputs &amp; Evidence'!N13="","",'1. Inputs &amp; Evidence'!N13)</x:f>
        <x:v>0.034589404978749246</x:v>
      </x:c>
      <x:c r="J13" s="37" t="n">
        <x:f>IF('1. Inputs &amp; Evidence'!O13="","",'1. Inputs &amp; Evidence'!O13)</x:f>
        <x:v>0.04193230115361263</x:v>
      </x:c>
      <x:c r="K13" s="39" t="n">
        <x:f>IF(OR('1. Inputs &amp; Evidence'!N13="",'1. Inputs &amp; Evidence'!I13="",'1. Inputs &amp; Evidence'!O13=""),"",'1. Inputs &amp; Evidence'!P13)</x:f>
        <x:v>0</x:v>
      </x:c>
      <x:c r="L13" s="28" t="str">
        <x:f>'1. Inputs &amp; Evidence'!Q13</x:f>
        <x:v>W_avg:R; C_avg:R; PF_shared:A; K:M</x:v>
      </x:c>
      <x:c r="M13" s="28" t="str">
        <x:f>'1. Inputs &amp; Evidence'!R13</x:f>
        <x:v>conditional</x:v>
      </x:c>
      <x:c r="N13" s="28" t="str">
        <x:f>'1. Inputs &amp; Evidence'!S13</x:f>
        <x:v>conditional_scenario</x:v>
      </x:c>
      <x:c r="O13" s="28" t="str">
        <x:f>'1. Inputs &amp; Evidence'!D13</x:f>
        <x:v>midlothian_fy2024_nominal_k_default_pf</x:v>
      </x:c>
    </x:row>
    <x:row r="14" ht="38" customHeight="1">
      <x:c r="A14" s="25" t="str">
        <x:f>'1. Inputs &amp; Evidence'!A14</x:f>
        <x:v>Henderson</x:v>
      </x:c>
      <x:c r="B14" s="25" t="str">
        <x:f>'1. Inputs &amp; Evidence'!E14</x:f>
        <x:v>average_flow</x:v>
      </x:c>
      <x:c r="C14" s="36" t="n">
        <x:f>IF(OR('1. Inputs &amp; Evidence'!F14="",'1. Inputs &amp; Evidence'!K14="",'1. Inputs &amp; Evidence'!K14&lt;=0),"",'1. Inputs &amp; Evidence'!F14/'1. Inputs &amp; Evidence'!K14)</x:f>
        <x:v>0.0010925925925925925</x:v>
      </x:c>
      <x:c r="D14" s="36" t="n">
        <x:f>IF('1. Inputs &amp; Evidence'!I14="","",'1. Inputs &amp; Evidence'!I14)</x:f>
        <x:v>0.576271186440678</x:v>
      </x:c>
      <x:c r="E14" s="36" t="n">
        <x:f>IF('1. Inputs &amp; Evidence'!J14="","",'1. Inputs &amp; Evidence'!J14)</x:f>
        <x:v>2.5</x:v>
      </x:c>
      <x:c r="F14" s="36" t="n">
        <x:f>IF('1. Inputs &amp; Evidence'!L14="","",'1. Inputs &amp; Evidence'!L14)</x:f>
        <x:v>2.458333333333333</x:v>
      </x:c>
      <x:c r="G14" s="36" t="n">
        <x:f>IF('1. Inputs &amp; Evidence'!M14="","",'1. Inputs &amp; Evidence'!M14)</x:f>
        <x:v>1.4166666666666665</x:v>
      </x:c>
      <x:c r="H14" s="36" t="n">
        <x:f>IF('1. Inputs &amp; Evidence'!K14="","",'1. Inputs &amp; Evidence'!K14)</x:f>
        <x:v>900</x:v>
      </x:c>
      <x:c r="I14" s="38" t="n">
        <x:f>IF('1. Inputs &amp; Evidence'!N14="","",'1. Inputs &amp; Evidence'!N14)</x:f>
        <x:v>0.0015740740740740739</x:v>
      </x:c>
      <x:c r="J14" s="38" t="n">
        <x:f>IF('1. Inputs &amp; Evidence'!O14="","",'1. Inputs &amp; Evidence'!O14)</x:f>
        <x:v>0.002731481481481481</x:v>
      </x:c>
      <x:c r="K14" s="40" t="n">
        <x:f>IF(OR('1. Inputs &amp; Evidence'!N14="",'1. Inputs &amp; Evidence'!I14="",'1. Inputs &amp; Evidence'!O14=""),"",'1. Inputs &amp; Evidence'!P14)</x:f>
        <x:v>0</x:v>
      </x:c>
      <x:c r="L14" s="29" t="str">
        <x:f>'1. Inputs &amp; Evidence'!Q14</x:f>
        <x:v>W_avg:R; C_avg:R; PF_shared:A; K:M</x:v>
      </x:c>
      <x:c r="M14" s="29" t="str">
        <x:f>'1. Inputs &amp; Evidence'!R14</x:f>
        <x:v>regional</x:v>
      </x:c>
      <x:c r="N14" s="29" t="str">
        <x:f>'1. Inputs &amp; Evidence'!S14</x:f>
        <x:v>regional_scenario_only</x:v>
      </x:c>
      <x:c r="O14" s="29" t="str">
        <x:f>'1. Inputs &amp; Evidence'!D14</x:f>
        <x:v>henderson_fy2024_regional_gross_capacity</x:v>
      </x:c>
    </x:row>
    <x:row r="15">
      <x:c r="A15" s="32"/>
      <x:c r="B15" s="32"/>
      <x:c r="C15" s="32"/>
      <x:c r="D15" s="32"/>
      <x:c r="E15" s="32"/>
      <x:c r="F15" s="32"/>
      <x:c r="G15" s="32"/>
      <x:c r="H15" s="32"/>
      <x:c r="I15" s="32"/>
      <x:c r="J15" s="32"/>
      <x:c r="K15" s="32"/>
      <x:c r="L15" s="32"/>
      <x:c r="M15" s="32"/>
      <x:c r="N15" s="32"/>
      <x:c r="O15" s="32"/>
    </x:row>
    <x:row r="16">
      <x:c r="A16" s="32"/>
      <x:c r="B16" s="32"/>
      <x:c r="C16" s="32"/>
      <x:c r="D16" s="32"/>
      <x:c r="E16" s="32"/>
      <x:c r="F16" s="32"/>
      <x:c r="G16" s="32"/>
      <x:c r="H16" s="32"/>
      <x:c r="I16" s="32"/>
      <x:c r="J16" s="32"/>
      <x:c r="K16" s="32"/>
      <x:c r="L16" s="32"/>
      <x:c r="M16" s="32"/>
      <x:c r="N16" s="32"/>
      <x:c r="O16" s="32"/>
    </x:row>
    <x:row r="17" ht="20" customHeight="1">
      <x:c r="A17" s="12" t="str">
        <x:v>Interpretation</x:v>
      </x:c>
      <x:c r="B17" s="13" t="str">
        <x:v>Interpretation</x:v>
      </x:c>
      <x:c r="C17" s="13" t="str">
        <x:v>Interpretation</x:v>
      </x:c>
      <x:c r="D17" s="13" t="str">
        <x:v>Interpretation</x:v>
      </x:c>
      <x:c r="E17" s="13" t="str">
        <x:v>Interpretation</x:v>
      </x:c>
      <x:c r="F17" s="13" t="str">
        <x:v>Interpretation</x:v>
      </x:c>
      <x:c r="G17" s="13" t="str">
        <x:v>Interpretation</x:v>
      </x:c>
      <x:c r="H17" s="13" t="str">
        <x:v>Interpretation</x:v>
      </x:c>
      <x:c r="I17" s="13" t="str">
        <x:v>Interpretation</x:v>
      </x:c>
      <x:c r="J17" s="13" t="str">
        <x:v>Interpretation</x:v>
      </x:c>
      <x:c r="K17" s="13" t="str">
        <x:v>Interpretation</x:v>
      </x:c>
      <x:c r="L17" s="13" t="str">
        <x:v>Interpretation</x:v>
      </x:c>
      <x:c r="M17" s="13" t="str">
        <x:v>Interpretation</x:v>
      </x:c>
      <x:c r="N17" s="13" t="str">
        <x:v>Interpretation</x:v>
      </x:c>
      <x:c r="O17" s="14" t="str">
        <x:v>Interpretation</x:v>
      </x:c>
    </x:row>
    <x:row r="18">
      <x:c r="A18" s="33" t="str">
        <x:v>Each row is a boundary-qualified numerical anchor. The values describe the declared comparison between facility demand and K. They do not by themselves measure water scarcity, firm available headroom, or hydrological safety. The numerical positions shown elsewhere are exploratory because evidence classes and capacity boundaries differ across sites.</x:v>
      </x:c>
      <x:c r="B18" s="33"/>
      <x:c r="C18" s="33"/>
      <x:c r="D18" s="33"/>
      <x:c r="E18" s="33"/>
      <x:c r="F18" s="33"/>
      <x:c r="G18" s="33"/>
      <x:c r="H18" s="33"/>
      <x:c r="I18" s="33"/>
      <x:c r="J18" s="33"/>
      <x:c r="K18" s="33"/>
      <x:c r="L18" s="33"/>
      <x:c r="M18" s="33"/>
      <x:c r="N18" s="33"/>
      <x:c r="O18" s="33"/>
    </x:row>
    <x:row r="19">
      <x:c r="A19" s="33"/>
      <x:c r="B19" s="33"/>
      <x:c r="C19" s="33"/>
      <x:c r="D19" s="33"/>
      <x:c r="E19" s="33"/>
      <x:c r="F19" s="33"/>
      <x:c r="G19" s="33"/>
      <x:c r="H19" s="33"/>
      <x:c r="I19" s="33"/>
      <x:c r="J19" s="33"/>
      <x:c r="K19" s="33"/>
      <x:c r="L19" s="33"/>
      <x:c r="M19" s="33"/>
      <x:c r="N19" s="33"/>
      <x:c r="O19" s="33"/>
    </x:row>
    <x:row r="20">
      <x:c r="A20" s="33"/>
      <x:c r="B20" s="33"/>
      <x:c r="C20" s="33"/>
      <x:c r="D20" s="33"/>
      <x:c r="E20" s="33"/>
      <x:c r="F20" s="33"/>
      <x:c r="G20" s="33"/>
      <x:c r="H20" s="33"/>
      <x:c r="I20" s="33"/>
      <x:c r="J20" s="33"/>
      <x:c r="K20" s="33"/>
      <x:c r="L20" s="33"/>
      <x:c r="M20" s="33"/>
      <x:c r="N20" s="33"/>
      <x:c r="O20" s="33"/>
    </x:row>
  </x:sheetData>
  <x:mergeCells>
    <x:mergeCell ref="A1:O1"/>
    <x:mergeCell ref="A2:O2"/>
    <x:mergeCell ref="A17:O17"/>
    <x:mergeCell ref="A18:O20"/>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 hidden="0" customWidth="1"/>
    <x:col min="2" max="2" width="8" hidden="0" customWidth="1"/>
    <x:col min="3" max="3" width="24" hidden="0" customWidth="1"/>
    <x:col min="4" max="4" width="17" hidden="0" customWidth="1"/>
    <x:col min="5" max="5" width="14" hidden="0" customWidth="1"/>
    <x:col min="6" max="6" width="14" hidden="0" customWidth="1"/>
    <x:col min="7" max="7" width="14" hidden="0" customWidth="1"/>
    <x:col min="8" max="8" width="14" hidden="0" customWidth="1"/>
    <x:col min="9" max="9" width="28" hidden="0" customWidth="1"/>
    <x:col min="10" max="10" width="17" hidden="0" customWidth="1"/>
    <x:col min="11" max="11" width="15" hidden="0" customWidth="1"/>
    <x:col min="12" max="12" width="30" hidden="0" customWidth="1"/>
    <x:col min="13" max="13" width="22" hidden="0" customWidth="1"/>
    <x:col min="14" max="14" width="48" hidden="0" customWidth="1"/>
  </x:cols>
  <x:sheetData>
    <x:row r="1" ht="25" customHeight="1">
      <x:c r="A1" s="3" t="str">
        <x:v>Community-Context Comparisons</x:v>
      </x:c>
      <x:c r="B1" s="3"/>
      <x:c r="C1" s="3"/>
      <x:c r="D1" s="3"/>
      <x:c r="E1" s="3"/>
      <x:c r="F1" s="3"/>
      <x:c r="G1" s="3"/>
      <x:c r="H1" s="3"/>
      <x:c r="I1" s="3"/>
      <x:c r="J1" s="3"/>
      <x:c r="K1" s="3"/>
      <x:c r="L1" s="3"/>
      <x:c r="M1" s="3"/>
      <x:c r="N1" s="3"/>
    </x:row>
    <x:row r="2" ht="21" customHeight="1">
      <x:c r="A2" s="6" t="str">
        <x:v>Household-equivalent and civil-jurisdiction share calculations are separate communication bases and are not internally equivalent.</x:v>
      </x:c>
      <x:c r="B2" s="6"/>
      <x:c r="C2" s="6"/>
      <x:c r="D2" s="6"/>
      <x:c r="E2" s="6"/>
      <x:c r="F2" s="6"/>
      <x:c r="G2" s="6"/>
      <x:c r="H2" s="6"/>
      <x:c r="I2" s="6"/>
      <x:c r="J2" s="6"/>
      <x:c r="K2" s="6"/>
      <x:c r="L2" s="6"/>
      <x:c r="M2" s="6"/>
      <x:c r="N2" s="6"/>
    </x:row>
    <x:row r="3">
      <x:c r="A3" s="32"/>
      <x:c r="B3" s="32"/>
      <x:c r="C3" s="32"/>
      <x:c r="D3" s="32"/>
      <x:c r="E3" s="32"/>
      <x:c r="F3" s="32"/>
      <x:c r="G3" s="32"/>
      <x:c r="H3" s="32"/>
      <x:c r="I3" s="32"/>
      <x:c r="J3" s="32"/>
      <x:c r="K3" s="32"/>
      <x:c r="L3" s="32"/>
      <x:c r="M3" s="32"/>
      <x:c r="N3" s="32"/>
    </x:row>
    <x:row r="4">
      <x:c r="A4" s="21" t="str">
        <x:v>Site</x:v>
      </x:c>
      <x:c r="B4" s="21" t="str">
        <x:v>State</x:v>
      </x:c>
      <x:c r="C4" s="21" t="str">
        <x:v>Operational stage</x:v>
      </x:c>
      <x:c r="D4" s="21" t="str">
        <x:v>Annual consumption (Mgal)</x:v>
      </x:c>
      <x:c r="E4" s="21" t="str">
        <x:v>Reporting days</x:v>
      </x:c>
      <x:c r="F4" s="21" t="str">
        <x:v>C_avg (MGD)</x:v>
      </x:c>
      <x:c r="G4" s="21" t="str">
        <x:v>C_avg (ML/day)</x:v>
      </x:c>
      <x:c r="H4" s="21" t="str">
        <x:v>Population (2020)</x:v>
      </x:c>
      <x:c r="I4" s="21" t="str">
        <x:v>Jurisdiction</x:v>
      </x:c>
      <x:c r="J4" s="21" t="str">
        <x:v>Household equivalent</x:v>
      </x:c>
      <x:c r="K4" s="21" t="str">
        <x:v>Community share</x:v>
      </x:c>
      <x:c r="L4" s="21" t="str">
        <x:v>Status</x:v>
      </x:c>
      <x:c r="M4" s="21" t="str">
        <x:v>Evidence</x:v>
      </x:c>
      <x:c r="N4" s="21" t="str">
        <x:v>Caveats</x:v>
      </x:c>
    </x:row>
    <x:row r="5" ht="64" customHeight="1">
      <x:c r="A5" s="24" t="str">
        <x:v>Lebanon</x:v>
      </x:c>
      <x:c r="B5" s="24" t="str">
        <x:v>IN</x:v>
      </x:c>
      <x:c r="C5" s="28" t="str">
        <x:v>planned Tier III full buildout</x:v>
      </x:c>
      <x:c r="D5" s="57"/>
      <x:c r="E5" s="57"/>
      <x:c r="F5" s="35" t="str">
        <x:f>IF(OR(D5="",E5=""),"",D5/E5)</x:f>
      </x:c>
      <x:c r="G5" s="35" t="str">
        <x:f>IF(F5="","",F5*$B$19)</x:f>
      </x:c>
      <x:c r="H5" s="58" t="n">
        <x:v>16662</x:v>
      </x:c>
      <x:c r="I5" s="28" t="str">
        <x:v>Lebanon city, Indiana</x:v>
      </x:c>
      <x:c r="J5" s="61" t="str">
        <x:f>IF(G5="","",G5*E5/$B$17)</x:f>
      </x:c>
      <x:c r="K5" s="62" t="str">
        <x:f>IF(OR(G5="",H5=""),"",G5/(H5*$B$18))</x:f>
      </x:c>
      <x:c r="L5" s="28" t="str">
        <x:v>not_admissible_no_defensible_C_avg</x:v>
      </x:c>
      <x:c r="M5" s="28" t="str">
        <x:v>C_avg=U; population=M</x:v>
      </x:c>
      <x:c r="N5" s="28" t="str">
        <x:v>Tier III is a planned 2031 development reservation with a reported peak only; no defensible average consumption is available. Lebanon city is a comparison jurisdiction, not the development service area or Lebanon Utilities service population.</x:v>
      </x:c>
    </x:row>
    <x:row r="6" ht="64" customHeight="1">
      <x:c r="A6" s="25" t="str">
        <x:v>Council Bluffs</x:v>
      </x:c>
      <x:c r="B6" s="25" t="str">
        <x:v>IA</x:v>
      </x:c>
      <x:c r="C6" s="29" t="str">
        <x:v>operating FY2024</x:v>
      </x:c>
      <x:c r="D6" s="57" t="n">
        <x:v>1010.20000000092</x:v>
      </x:c>
      <x:c r="E6" s="57" t="n">
        <x:v>366</x:v>
      </x:c>
      <x:c r="F6" s="36" t="n">
        <x:f>IF(OR(D6="",E6=""),"",D6/E6)</x:f>
        <x:v>2.76010928962</x:v>
      </x:c>
      <x:c r="G6" s="36" t="n">
        <x:f>IF(F6="","",F6*$B$19)</x:f>
        <x:v>10.448150230055417</x:v>
      </x:c>
      <x:c r="H6" s="58" t="n">
        <x:v>62799</x:v>
      </x:c>
      <x:c r="I6" s="29" t="str">
        <x:v>Council Bluffs city, Iowa</x:v>
      </x:c>
      <x:c r="J6" s="63" t="n">
        <x:f>IF(G6="","",G6*E6/$B$17)</x:f>
        <x:v>9223.4032421618</x:v>
      </x:c>
      <x:c r="K6" s="64" t="n">
        <x:f>IF(OR(G6="",H6=""),"",G6/(H6*$B$18))</x:f>
        <x:v>0.5359937162313057</x:v>
      </x:c>
      <x:c r="L6" s="29" t="str">
        <x:v>admissible_context_only</x:v>
      </x:c>
      <x:c r="M6" s="29" t="str">
        <x:v>C_avg=R; population=M</x:v>
      </x:c>
      <x:c r="N6" s="29" t="str">
        <x:v>FY2024 campus consumption is compared with the 2020 city population. The city boundary is not the Council Bluffs Water Works service area. Capacity selection is assessed separately and does not affect this volume-only community-context calculation.</x:v>
      </x:c>
    </x:row>
    <x:row r="7" ht="64" customHeight="1">
      <x:c r="A7" s="24" t="str">
        <x:v>Mayes County</x:v>
      </x:c>
      <x:c r="B7" s="24" t="str">
        <x:v>OK</x:v>
      </x:c>
      <x:c r="C7" s="28" t="str">
        <x:v>operating FY2024</x:v>
      </x:c>
      <x:c r="D7" s="57" t="n">
        <x:v>833.19999999984</x:v>
      </x:c>
      <x:c r="E7" s="57" t="n">
        <x:v>366</x:v>
      </x:c>
      <x:c r="F7" s="35" t="n">
        <x:f>IF(OR(D7="",E7=""),"",D7/E7)</x:f>
        <x:v>2.27650273224</x:v>
      </x:c>
      <x:c r="G7" s="35" t="n">
        <x:f>IF(F7="","",F7*$B$19)</x:f>
        <x:v>8.617500268929492</x:v>
      </x:c>
      <x:c r="H7" s="58" t="n">
        <x:v>39046</x:v>
      </x:c>
      <x:c r="I7" s="28" t="str">
        <x:v>Mayes County, Oklahoma</x:v>
      </x:c>
      <x:c r="J7" s="61" t="n">
        <x:f>IF(G7="","",G7*E7/$B$17)</x:f>
        <x:v>7607.344665769883</x:v>
      </x:c>
      <x:c r="K7" s="62" t="n">
        <x:f>IF(OR(G7="",H7=""),"",G7/(H7*$B$18))</x:f>
        <x:v>0.7110133801657332</x:v>
      </x:c>
      <x:c r="L7" s="28" t="str">
        <x:v>admissible_context_only</x:v>
      </x:c>
      <x:c r="M7" s="28" t="str">
        <x:v>C_avg=R; population=M</x:v>
      </x:c>
      <x:c r="N7" s="28" t="str">
        <x:v>FY2024 campus consumption is compared with the 2020 county population. Mayes County is not the MidAmerica Industrial Park water-service boundary.</x:v>
      </x:c>
    </x:row>
    <x:row r="8" ht="64" customHeight="1">
      <x:c r="A8" s="25" t="str">
        <x:v>The Dalles</x:v>
      </x:c>
      <x:c r="B8" s="25" t="str">
        <x:v>OR</x:v>
      </x:c>
      <x:c r="C8" s="29" t="str">
        <x:v>operating FY2024</x:v>
      </x:c>
      <x:c r="D8" s="57" t="n">
        <x:v>361.399999999974</x:v>
      </x:c>
      <x:c r="E8" s="57" t="n">
        <x:v>366</x:v>
      </x:c>
      <x:c r="F8" s="36" t="n">
        <x:f>IF(OR(D8="",E8=""),"",D8/E8)</x:f>
        <x:v>0.987431693989</x:v>
      </x:c>
      <x:c r="G8" s="36" t="n">
        <x:f>IF(F8="","",F8*$B$19)</x:f>
        <x:v>3.7378355703210424</x:v>
      </x:c>
      <x:c r="H8" s="58" t="n">
        <x:v>16010</x:v>
      </x:c>
      <x:c r="I8" s="29" t="str">
        <x:v>The Dalles city, Oregon</x:v>
      </x:c>
      <x:c r="J8" s="63" t="n">
        <x:f>IF(G8="","",G8*E8/$B$17)</x:f>
        <x:v>3299.681183640862</x:v>
      </x:c>
      <x:c r="K8" s="64" t="n">
        <x:f>IF(OR(G8="",H8=""),"",G8/(H8*$B$18))</x:f>
        <x:v>0.7521455294625311</x:v>
      </x:c>
      <x:c r="L8" s="29" t="str">
        <x:v>admissible_context_only</x:v>
      </x:c>
      <x:c r="M8" s="29" t="str">
        <x:v>C_avg=R; population=M</x:v>
      </x:c>
      <x:c r="N8" s="29" t="str">
        <x:v>FY2024 campus consumption is compared with the 2020 city population. The city population is not a water-service-area population. Capacity selection is assessed separately and does not affect this volume-only community-context calculation.</x:v>
      </x:c>
    </x:row>
    <x:row r="9" ht="64" customHeight="1">
      <x:c r="A9" s="24" t="str">
        <x:v>Douglas County</x:v>
      </x:c>
      <x:c r="B9" s="24" t="str">
        <x:v>GA</x:v>
      </x:c>
      <x:c r="C9" s="28" t="str">
        <x:v>operating FY2024</x:v>
      </x:c>
      <x:c r="D9" s="57" t="n">
        <x:v>366.89999999874</x:v>
      </x:c>
      <x:c r="E9" s="57" t="n">
        <x:v>366</x:v>
      </x:c>
      <x:c r="F9" s="35" t="n">
        <x:f>IF(OR(D9="",E9=""),"",D9/E9)</x:f>
        <x:v>1.00245901639</x:v>
      </x:c>
      <x:c r="G9" s="35" t="n">
        <x:f>IF(F9="","",F9*$B$19)</x:f>
        <x:v>3.794720173619755</x:v>
      </x:c>
      <x:c r="H9" s="58" t="n">
        <x:v>144237</x:v>
      </x:c>
      <x:c r="I9" s="28" t="str">
        <x:v>Douglas County, Georgia</x:v>
      </x:c>
      <x:c r="J9" s="61" t="n">
        <x:f>IF(G9="","",G9*E9/$B$17)</x:f>
        <x:v>3349.8976930651957</x:v>
      </x:c>
      <x:c r="K9" s="62" t="n">
        <x:f>IF(OR(G9="",H9=""),"",G9/(H9*$B$18))</x:f>
        <x:v>0.08475710085467397</x:v>
      </x:c>
      <x:c r="L9" s="28" t="str">
        <x:v>admissible_context_only</x:v>
      </x:c>
      <x:c r="M9" s="28" t="str">
        <x:v>C_avg=R; population=M</x:v>
      </x:c>
      <x:c r="N9" s="28" t="str">
        <x:v>FY2024 consumption combines potable and reclaimed streams and is compared with the 2020 county population. The result does not measure potable-water competition and Douglas County is not a matched utility service area.</x:v>
      </x:c>
    </x:row>
    <x:row r="10" ht="64" customHeight="1">
      <x:c r="A10" s="25" t="str">
        <x:v>Wisconsin site</x:v>
      </x:c>
      <x:c r="B10" s="25" t="str">
        <x:v>WI</x:v>
      </x:c>
      <x:c r="C10" s="29" t="str">
        <x:v>planned or ramping</x:v>
      </x:c>
      <x:c r="D10" s="57"/>
      <x:c r="E10" s="57"/>
      <x:c r="F10" s="36" t="str">
        <x:f>IF(OR(D10="",E10=""),"",D10/E10)</x:f>
      </x:c>
      <x:c r="G10" s="36" t="str">
        <x:f>IF(F10="","",F10*$B$19)</x:f>
      </x:c>
      <x:c r="H10" s="58" t="n">
        <x:v>27732</x:v>
      </x:c>
      <x:c r="I10" s="29" t="str">
        <x:v>Mount Pleasant village, Wisconsin</x:v>
      </x:c>
      <x:c r="J10" s="63" t="str">
        <x:f>IF(G10="","",G10*E10/$B$17)</x:f>
      </x:c>
      <x:c r="K10" s="64" t="str">
        <x:f>IF(OR(G10="",H10=""),"",G10/(H10*$B$18))</x:f>
      </x:c>
      <x:c r="L10" s="29" t="str">
        <x:v>not_admissible_no_defensible_C_avg</x:v>
      </x:c>
      <x:c r="M10" s="29" t="str">
        <x:v>C_avg=U; population=M</x:v>
      </x:c>
      <x:c r="N10" s="29" t="str">
        <x:v>The disclosed annual water envelope and planned peak do not establish average consumptive use, so both context metrics remain NA. The village population is not the Racine Water Utility service population, and parcel-to-service-boundary confirmation remains pending.</x:v>
      </x:c>
    </x:row>
    <x:row r="11" ht="64" customHeight="1">
      <x:c r="A11" s="24" t="str">
        <x:v>Botetourt County</x:v>
      </x:c>
      <x:c r="B11" s="24" t="str">
        <x:v>VA</x:v>
      </x:c>
      <x:c r="C11" s="28" t="str">
        <x:v>planned or ramping</x:v>
      </x:c>
      <x:c r="D11" s="57"/>
      <x:c r="E11" s="57"/>
      <x:c r="F11" s="35" t="str">
        <x:f>IF(OR(D11="",E11=""),"",D11/E11)</x:f>
      </x:c>
      <x:c r="G11" s="35" t="str">
        <x:f>IF(F11="","",F11*$B$19)</x:f>
      </x:c>
      <x:c r="H11" s="58" t="n">
        <x:v>33596</x:v>
      </x:c>
      <x:c r="I11" s="28" t="str">
        <x:v>Botetourt County, Virginia</x:v>
      </x:c>
      <x:c r="J11" s="61" t="str">
        <x:f>IF(G11="","",G11*E11/$B$17)</x:f>
      </x:c>
      <x:c r="K11" s="62" t="str">
        <x:f>IF(OR(G11="",H11=""),"",G11/(H11*$B$18))</x:f>
      </x:c>
      <x:c r="L11" s="28" t="str">
        <x:v>not_admissible_no_defensible_C_avg</x:v>
      </x:c>
      <x:c r="M11" s="28" t="str">
        <x:v>C_avg=U; population=M</x:v>
      </x:c>
      <x:c r="N11" s="28" t="str">
        <x:v>The 2 MGD value is a maximum reservation and actual use is described as seasonal and lower; no average consumption is available. The county population is not the Carvins Cove WTP service population.</x:v>
      </x:c>
    </x:row>
    <x:row r="12" ht="64" customHeight="1">
      <x:c r="A12" s="25" t="str">
        <x:v>Midlothian</x:v>
      </x:c>
      <x:c r="B12" s="25" t="str">
        <x:v>TX</x:v>
      </x:c>
      <x:c r="C12" s="29" t="str">
        <x:v>operating FY2024</x:v>
      </x:c>
      <x:c r="D12" s="57" t="n">
        <x:v>182.300000000004</x:v>
      </x:c>
      <x:c r="E12" s="57" t="n">
        <x:v>366</x:v>
      </x:c>
      <x:c r="F12" s="36" t="n">
        <x:f>IF(OR(D12="",E12=""),"",D12/E12)</x:f>
        <x:v>0.498087431694</x:v>
      </x:c>
      <x:c r="G12" s="36" t="n">
        <x:f>IF(F12="","",F12*$B$19)</x:f>
        <x:v>1.8854660333967626</x:v>
      </x:c>
      <x:c r="H12" s="58" t="n">
        <x:v>35125</x:v>
      </x:c>
      <x:c r="I12" s="29" t="str">
        <x:v>Midlothian city, Texas</x:v>
      </x:c>
      <x:c r="J12" s="63" t="n">
        <x:f>IF(G12="","",G12*E12/$B$17)</x:f>
        <x:v>1664.4490309291245</x:v>
      </x:c>
      <x:c r="K12" s="64" t="n">
        <x:f>IF(OR(G12="",H12=""),"",G12/(H12*$B$18))</x:f>
        <x:v>0.17293201343425052</x:v>
      </x:c>
      <x:c r="L12" s="29" t="str">
        <x:v>admissible_context_only</x:v>
      </x:c>
      <x:c r="M12" s="29" t="str">
        <x:v>C_avg=R; population=M</x:v>
      </x:c>
      <x:c r="N12" s="29" t="str">
        <x:v>FY2024 campus consumption is compared with the 2020 city population. The city population is not a utility service-area population, and direct service by the city system remains a final evidence check.</x:v>
      </x:c>
    </x:row>
    <x:row r="13" ht="64" customHeight="1">
      <x:c r="A13" s="24" t="str">
        <x:v>Memphis</x:v>
      </x:c>
      <x:c r="B13" s="24" t="str">
        <x:v>TN</x:v>
      </x:c>
      <x:c r="C13" s="28" t="str">
        <x:v>operating or ramping</x:v>
      </x:c>
      <x:c r="D13" s="57"/>
      <x:c r="E13" s="57"/>
      <x:c r="F13" s="35" t="str">
        <x:f>IF(OR(D13="",E13=""),"",D13/E13)</x:f>
      </x:c>
      <x:c r="G13" s="35" t="str">
        <x:f>IF(F13="","",F13*$B$19)</x:f>
      </x:c>
      <x:c r="H13" s="58" t="n">
        <x:v>633104</x:v>
      </x:c>
      <x:c r="I13" s="28" t="str">
        <x:v>Memphis city, Tennessee</x:v>
      </x:c>
      <x:c r="J13" s="61" t="str">
        <x:f>IF(G13="","",G13*E13/$B$17)</x:f>
      </x:c>
      <x:c r="K13" s="62" t="str">
        <x:f>IF(OR(G13="",H13=""),"",G13/(H13*$B$18))</x:f>
      </x:c>
      <x:c r="L13" s="28" t="str">
        <x:v>not_admissible_no_defensible_C_avg</x:v>
      </x:c>
      <x:c r="M13" s="28" t="str">
        <x:v>C_avg=U; population=M</x:v>
      </x:c>
      <x:c r="N13" s="28" t="str">
        <x:v>The public value is an up-to-1-MGD service maximum, not measured average consumption, so both context metrics remain NA. Memphis city is not the Davis WTP or MLGW service population.</x:v>
      </x:c>
    </x:row>
    <x:row r="14" ht="64" customHeight="1">
      <x:c r="A14" s="25" t="str">
        <x:v>Henderson</x:v>
      </x:c>
      <x:c r="B14" s="25" t="str">
        <x:v>NV</x:v>
      </x:c>
      <x:c r="C14" s="29" t="str">
        <x:v>operating FY2024</x:v>
      </x:c>
      <x:c r="D14" s="57" t="n">
        <x:v>207.40000000012202</x:v>
      </x:c>
      <x:c r="E14" s="57" t="n">
        <x:v>366</x:v>
      </x:c>
      <x:c r="F14" s="36" t="n">
        <x:f>IF(OR(D14="",E14=""),"",D14/E14)</x:f>
        <x:v>0.566666666667</x:v>
      </x:c>
      <x:c r="G14" s="36" t="n">
        <x:f>IF(F14="","",F14*$B$19)</x:f>
        <x:v>2.145066677601262</x:v>
      </x:c>
      <x:c r="H14" s="58" t="n">
        <x:v>317610</x:v>
      </x:c>
      <x:c r="I14" s="29" t="str">
        <x:v>Henderson city, Nevada</x:v>
      </x:c>
      <x:c r="J14" s="63" t="n">
        <x:f>IF(G14="","",G14*E14/$B$17)</x:f>
        <x:v>1893.6189194453978</x:v>
      </x:c>
      <x:c r="K14" s="64" t="n">
        <x:f>IF(OR(G14="",H14=""),"",G14/(H14*$B$18))</x:f>
        <x:v>0.021758033770017077</x:v>
      </x:c>
      <x:c r="L14" s="29" t="str">
        <x:v>admissible_context_only</x:v>
      </x:c>
      <x:c r="M14" s="29" t="str">
        <x:v>C_avg=R; population=M</x:v>
      </x:c>
      <x:c r="N14" s="29" t="str">
        <x:v>FY2024 campus consumption is compared with the 2020 city population. Henderson city is not the SNWA regional service area, and this context ratio does not indicate local headroom or basin scarcity.</x:v>
      </x:c>
    </x:row>
    <x:row r="15">
      <x:c r="A15" s="32"/>
      <x:c r="B15" s="32"/>
      <x:c r="C15" s="32"/>
      <x:c r="D15" s="32"/>
      <x:c r="E15" s="32"/>
      <x:c r="F15" s="32"/>
      <x:c r="G15" s="32"/>
      <x:c r="H15" s="32"/>
      <x:c r="I15" s="32"/>
      <x:c r="J15" s="32"/>
      <x:c r="K15" s="32"/>
      <x:c r="L15" s="32"/>
      <x:c r="M15" s="32"/>
      <x:c r="N15" s="32"/>
    </x:row>
    <x:row r="16" ht="20" customHeight="1">
      <x:c r="A16" s="12" t="str">
        <x:v>Constants</x:v>
      </x:c>
      <x:c r="B16" s="13" t="str">
        <x:v>Constants</x:v>
      </x:c>
      <x:c r="C16" s="13" t="str">
        <x:v>Constants</x:v>
      </x:c>
      <x:c r="D16" s="13" t="str">
        <x:v>Constants</x:v>
      </x:c>
      <x:c r="E16" s="13" t="str">
        <x:v>Constants</x:v>
      </x:c>
      <x:c r="F16" s="13" t="str">
        <x:v>Constants</x:v>
      </x:c>
      <x:c r="G16" s="13" t="str">
        <x:v>Constants</x:v>
      </x:c>
      <x:c r="H16" s="13" t="str">
        <x:v>Constants</x:v>
      </x:c>
      <x:c r="I16" s="13" t="str">
        <x:v>Constants</x:v>
      </x:c>
      <x:c r="J16" s="13" t="str">
        <x:v>Constants</x:v>
      </x:c>
      <x:c r="K16" s="13" t="str">
        <x:v>Constants</x:v>
      </x:c>
      <x:c r="L16" s="13" t="str">
        <x:v>Constants</x:v>
      </x:c>
      <x:c r="M16" s="13" t="str">
        <x:v>Constants</x:v>
      </x:c>
      <x:c r="N16" s="14" t="str">
        <x:v>Constants</x:v>
      </x:c>
    </x:row>
    <x:row r="17">
      <x:c r="A17" s="26" t="str">
        <x:v>Household water use</x:v>
      </x:c>
      <x:c r="B17" s="43" t="n">
        <x:v>0.4146</x:v>
      </x:c>
      <x:c r="C17" s="24" t="str">
        <x:v>ML/household/year</x:v>
      </x:c>
      <x:c r="D17" s="24"/>
      <x:c r="E17" s="24"/>
      <x:c r="F17" s="24"/>
      <x:c r="G17" s="24"/>
      <x:c r="H17" s="24"/>
      <x:c r="I17" s="24"/>
      <x:c r="J17" s="24"/>
      <x:c r="K17" s="24"/>
      <x:c r="L17" s="24"/>
      <x:c r="M17" s="24"/>
      <x:c r="N17" s="24"/>
    </x:row>
    <x:row r="18">
      <x:c r="A18" s="26" t="str">
        <x:v>Per-capita domestic use</x:v>
      </x:c>
      <x:c r="B18" s="43" t="n">
        <x:v>0.00031040376628799996</x:v>
      </x:c>
      <x:c r="C18" s="24" t="str">
        <x:v>ML/person/day (exactly 82 US gal/person/day; approximately 310 L/person/day)</x:v>
      </x:c>
      <x:c r="D18" s="24"/>
      <x:c r="E18" s="24"/>
      <x:c r="F18" s="24"/>
      <x:c r="G18" s="24"/>
      <x:c r="H18" s="24"/>
      <x:c r="I18" s="24"/>
      <x:c r="J18" s="24"/>
      <x:c r="K18" s="24"/>
      <x:c r="L18" s="24"/>
      <x:c r="M18" s="24"/>
      <x:c r="N18" s="24"/>
    </x:row>
    <x:row r="19">
      <x:c r="A19" s="26" t="str">
        <x:v>MGD to ML/day</x:v>
      </x:c>
      <x:c r="B19" s="44" t="n">
        <x:v>3.785411784</x:v>
      </x:c>
      <x:c r="C19" s="24" t="str">
        <x:v>Exact repository conversion factor</x:v>
      </x:c>
      <x:c r="D19" s="24"/>
      <x:c r="E19" s="24"/>
      <x:c r="F19" s="24"/>
      <x:c r="G19" s="24"/>
      <x:c r="H19" s="24"/>
      <x:c r="I19" s="24"/>
      <x:c r="J19" s="24"/>
      <x:c r="K19" s="24"/>
      <x:c r="L19" s="24"/>
      <x:c r="M19" s="24"/>
      <x:c r="N19" s="24"/>
    </x:row>
  </x:sheetData>
  <x:mergeCells>
    <x:mergeCell ref="A1:N1"/>
    <x:mergeCell ref="A2:N2"/>
    <x:mergeCell ref="A16:N16"/>
  </x:mergeCells>
  <x:dataValidations count="5">
    <x:dataValidation type="decimal" operator="between" sqref="D5:D14">
      <x:formula1>0</x:formula1>
      <x:formula2>1000000000000</x:formula2>
    </x:dataValidation>
    <x:dataValidation type="decimal" operator="between" sqref="E5:E14">
      <x:formula1>1</x:formula1>
      <x:formula2>1000</x:formula2>
    </x:dataValidation>
    <x:dataValidation type="decimal" operator="between" sqref="H5:H14">
      <x:formula1>1</x:formula1>
      <x:formula2>10000000000</x:formula2>
    </x:dataValidation>
    <x:dataValidation type="decimal" operator="between" sqref="B17">
      <x:formula1>1e-12</x:formula1>
      <x:formula2>1000000000000</x:formula2>
    </x:dataValidation>
    <x:dataValidation type="decimal" operator="between" sqref="B18">
      <x:formula1>1e-12</x:formula1>
      <x:formula2>1000000000000</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42" hidden="0" customWidth="1"/>
    <x:col min="3" max="3" width="11" hidden="0" customWidth="1"/>
    <x:col min="4" max="4" width="14" hidden="0" customWidth="1"/>
    <x:col min="5" max="5" width="11" hidden="0" customWidth="1"/>
    <x:col min="6" max="6" width="12" hidden="0" customWidth="1"/>
    <x:col min="7" max="7" width="14" hidden="0" customWidth="1"/>
    <x:col min="8" max="8" width="11" hidden="0" customWidth="1"/>
    <x:col min="9" max="9" width="11" hidden="0" customWidth="1"/>
    <x:col min="10" max="10" width="11" hidden="0" customWidth="1"/>
    <x:col min="11" max="11" width="12" hidden="0" customWidth="1"/>
    <x:col min="12" max="12" width="12" hidden="0" customWidth="1"/>
    <x:col min="13" max="13" width="12" hidden="0" customWidth="1"/>
    <x:col min="14" max="14" width="12" hidden="0" customWidth="1"/>
    <x:col min="15" max="15" width="14" hidden="0" customWidth="1"/>
    <x:col min="16" max="16" width="28" hidden="0" customWidth="1"/>
    <x:col min="17" max="17" width="46" hidden="0" customWidth="1"/>
  </x:cols>
  <x:sheetData>
    <x:row r="1" ht="25" customHeight="1">
      <x:c r="A1" s="3" t="str">
        <x:v>Boundary Scenarios and Deterministic Uncertainty Checks</x:v>
      </x:c>
      <x:c r="B1" s="3"/>
      <x:c r="C1" s="3"/>
      <x:c r="D1" s="3"/>
      <x:c r="E1" s="3"/>
      <x:c r="F1" s="3"/>
      <x:c r="G1" s="3"/>
      <x:c r="H1" s="3"/>
      <x:c r="I1" s="3"/>
      <x:c r="J1" s="3"/>
      <x:c r="K1" s="3"/>
      <x:c r="L1" s="3"/>
      <x:c r="M1" s="3"/>
      <x:c r="N1" s="3"/>
      <x:c r="O1" s="3"/>
      <x:c r="P1" s="3"/>
      <x:c r="Q1" s="3"/>
    </x:row>
    <x:row r="2" ht="21" customHeight="1">
      <x:c r="A2" s="6" t="str">
        <x:v>All fourteen repository scenarios plus the four-case parameter-range check and Douglas reclaimed-source allocation bound.</x:v>
      </x:c>
      <x:c r="B2" s="6"/>
      <x:c r="C2" s="6"/>
      <x:c r="D2" s="6"/>
      <x:c r="E2" s="6"/>
      <x:c r="F2" s="6"/>
      <x:c r="G2" s="6"/>
      <x:c r="H2" s="6"/>
      <x:c r="I2" s="6"/>
      <x:c r="J2" s="6"/>
      <x:c r="K2" s="6"/>
      <x:c r="L2" s="6"/>
      <x:c r="M2" s="6"/>
      <x:c r="N2" s="6"/>
      <x:c r="O2" s="6"/>
      <x:c r="P2" s="6"/>
      <x:c r="Q2" s="6"/>
    </x:row>
    <x:row r="3">
      <x:c r="A3" s="32"/>
      <x:c r="B3" s="32"/>
      <x:c r="C3" s="32"/>
      <x:c r="D3" s="32"/>
      <x:c r="E3" s="32"/>
      <x:c r="F3" s="32"/>
      <x:c r="G3" s="32"/>
      <x:c r="H3" s="32"/>
      <x:c r="I3" s="32"/>
      <x:c r="J3" s="32"/>
      <x:c r="K3" s="32"/>
      <x:c r="L3" s="32"/>
      <x:c r="M3" s="32"/>
      <x:c r="N3" s="32"/>
      <x:c r="O3" s="32"/>
      <x:c r="P3" s="32"/>
      <x:c r="Q3" s="32"/>
    </x:row>
    <x:row r="4">
      <x:c r="A4" s="21" t="str">
        <x:v>Site</x:v>
      </x:c>
      <x:c r="B4" s="21" t="str">
        <x:v>Scenario ID</x:v>
      </x:c>
      <x:c r="C4" s="21" t="str">
        <x:v>Anchor</x:v>
      </x:c>
      <x:c r="D4" s="21" t="str">
        <x:v>Branch</x:v>
      </x:c>
      <x:c r="E4" s="21" t="str">
        <x:v>Calculate</x:v>
      </x:c>
      <x:c r="F4" s="21" t="str">
        <x:v>W_avg</x:v>
      </x:c>
      <x:c r="G4" s="21" t="str">
        <x:v>Direct W_peak</x:v>
      </x:c>
      <x:c r="H4" s="21" t="str">
        <x:v>r</x:v>
      </x:c>
      <x:c r="I4" s="21" t="str">
        <x:v>PF</x:v>
      </x:c>
      <x:c r="J4" s="21" t="str">
        <x:v>K</x:v>
      </x:c>
      <x:c r="K4" s="21" t="str">
        <x:v>W_peak</x:v>
      </x:c>
      <x:c r="L4" s="21" t="str">
        <x:v>C_peak</x:v>
      </x:c>
      <x:c r="M4" s="21" t="str">
        <x:v>WCI</x:v>
      </x:c>
      <x:c r="N4" s="21" t="str">
        <x:v>PDLR</x:v>
      </x:c>
      <x:c r="O4" s="21" t="str">
        <x:v>Boundary</x:v>
      </x:c>
      <x:c r="P4" s="21" t="str">
        <x:v>Rank status</x:v>
      </x:c>
      <x:c r="Q4" s="21" t="str">
        <x:v>Scenario name</x:v>
      </x:c>
    </x:row>
    <x:row r="5" ht="35" customHeight="1">
      <x:c r="A5" s="24" t="str">
        <x:v>Lebanon</x:v>
      </x:c>
      <x:c r="B5" s="28" t="str">
        <x:v>lebanon_tier3_existing_system_counterfactual</x:v>
      </x:c>
      <x:c r="C5" s="28" t="str">
        <x:v>yes</x:v>
      </x:c>
      <x:c r="D5" s="28" t="str">
        <x:v>direct_peak</x:v>
      </x:c>
      <x:c r="E5" s="28" t="str">
        <x:v>yes</x:v>
      </x:c>
      <x:c r="F5" s="73" t="str">
        <x:f>""</x:f>
      </x:c>
      <x:c r="G5" s="73" t="n">
        <x:f>IF('1. Inputs &amp; Evidence'!$M$20="","",'1. Inputs &amp; Evidence'!$M$20)</x:f>
        <x:v>8</x:v>
      </x:c>
      <x:c r="H5" s="73" t="n">
        <x:f>IF('1. Inputs &amp; Evidence'!$M$21="","",'1. Inputs &amp; Evidence'!$M$21)</x:f>
        <x:v>0.77</x:v>
      </x:c>
      <x:c r="I5" s="73" t="str">
        <x:f>""</x:f>
      </x:c>
      <x:c r="J5" s="73" t="n">
        <x:f>IF('1. Inputs &amp; Evidence'!$M$22="","",'1. Inputs &amp; Evidence'!$M$22)</x:f>
        <x:v>4.6</x:v>
      </x:c>
      <x:c r="K5" s="73" t="n">
        <x:f>IF(D5="direct_peak",IF(G5="","",G5),IF(OR(F5="",I5=""),"",F5*I5))</x:f>
        <x:v>8</x:v>
      </x:c>
      <x:c r="L5" s="73" t="n">
        <x:f>IF(OR(K5="",H5=""),"",K5*H5)</x:f>
        <x:v>6.16</x:v>
      </x:c>
      <x:c r="M5" s="62" t="n">
        <x:f>IF(OR(E5="no",J5="",J5&lt;=0,L5=""),"",L5/J5)</x:f>
        <x:v>1.3391304347826087</x:v>
      </x:c>
      <x:c r="N5" s="62" t="n">
        <x:f>IF(OR(E5="no",J5="",J5&lt;=0,K5=""),"",K5/J5)</x:f>
        <x:v>1.7391304347826089</x:v>
      </x:c>
      <x:c r="O5" s="28" t="str">
        <x:v>conditional</x:v>
      </x:c>
      <x:c r="P5" s="28" t="str">
        <x:v>scenario_only</x:v>
      </x:c>
      <x:c r="Q5" s="28" t="str">
        <x:v>Tier III peak against existing 4.6 MGD system</x:v>
      </x:c>
    </x:row>
    <x:row r="6" ht="35" customHeight="1">
      <x:c r="A6" s="25" t="str">
        <x:v>Lebanon</x:v>
      </x:c>
      <x:c r="B6" s="29" t="str">
        <x:v>lebanon_tier3_planned_wholesale_allocation</x:v>
      </x:c>
      <x:c r="C6" s="29" t="str">
        <x:v>no</x:v>
      </x:c>
      <x:c r="D6" s="29" t="str">
        <x:v>direct_peak</x:v>
      </x:c>
      <x:c r="E6" s="29" t="str">
        <x:v>yes</x:v>
      </x:c>
      <x:c r="F6" s="74" t="str">
        <x:f>""</x:f>
      </x:c>
      <x:c r="G6" s="74" t="n">
        <x:f>IF('1. Inputs &amp; Evidence'!$M$23="","",'1. Inputs &amp; Evidence'!$M$23)</x:f>
        <x:v>8</x:v>
      </x:c>
      <x:c r="H6" s="74" t="n">
        <x:f>IF('1. Inputs &amp; Evidence'!$M$24="","",'1. Inputs &amp; Evidence'!$M$24)</x:f>
        <x:v>0.77</x:v>
      </x:c>
      <x:c r="I6" s="74" t="str">
        <x:f>""</x:f>
      </x:c>
      <x:c r="J6" s="74" t="n">
        <x:f>IF('1. Inputs &amp; Evidence'!$M$25="","",'1. Inputs &amp; Evidence'!$M$25)</x:f>
        <x:v>25</x:v>
      </x:c>
      <x:c r="K6" s="74" t="n">
        <x:f>IF(D6="direct_peak",IF(G6="","",G6),IF(OR(F6="",I6=""),"",F6*I6))</x:f>
        <x:v>8</x:v>
      </x:c>
      <x:c r="L6" s="74" t="n">
        <x:f>IF(OR(K6="",H6=""),"",K6*H6)</x:f>
        <x:v>6.16</x:v>
      </x:c>
      <x:c r="M6" s="64" t="n">
        <x:f>IF(OR(E6="no",J6="",J6&lt;=0,L6=""),"",L6/J6)</x:f>
        <x:v>0.2464</x:v>
      </x:c>
      <x:c r="N6" s="64" t="n">
        <x:f>IF(OR(E6="no",J6="",J6&lt;=0,K6=""),"",K6/J6)</x:f>
        <x:v>0.32</x:v>
      </x:c>
      <x:c r="O6" s="29" t="str">
        <x:v>conditional</x:v>
      </x:c>
      <x:c r="P6" s="29" t="str">
        <x:v>within_site_scenario_only</x:v>
      </x:c>
      <x:c r="Q6" s="29" t="str">
        <x:v>Tier III peak against planned 25 MGD wholesale allocation</x:v>
      </x:c>
    </x:row>
    <x:row r="7" ht="35" customHeight="1">
      <x:c r="A7" s="24" t="str">
        <x:v>Council Bluffs</x:v>
      </x:c>
      <x:c r="B7" s="28" t="str">
        <x:v>council_bluffs_fy2024_combined_nominal_k</x:v>
      </x:c>
      <x:c r="C7" s="28" t="str">
        <x:v>yes</x:v>
      </x:c>
      <x:c r="D7" s="28" t="str">
        <x:v>average_flow</x:v>
      </x:c>
      <x:c r="E7" s="28" t="str">
        <x:v>yes</x:v>
      </x:c>
      <x:c r="F7" s="73" t="n">
        <x:f>IF('1. Inputs &amp; Evidence'!$M$26="","",'1. Inputs &amp; Evidence'!$M$26)</x:f>
        <x:v>3.85327868852459</x:v>
      </x:c>
      <x:c r="G7" s="73" t="str">
        <x:f>""</x:f>
      </x:c>
      <x:c r="H7" s="73" t="n">
        <x:f>IF(OR('1. Inputs &amp; Evidence'!$M$27="",F7="",F7=0),"",'1. Inputs &amp; Evidence'!$M$27/F7)</x:f>
        <x:v>0.716301496135574</x:v>
      </x:c>
      <x:c r="I7" s="73" t="n">
        <x:f>IF('1. Inputs &amp; Evidence'!$M$28="","",'1. Inputs &amp; Evidence'!$M$28)</x:f>
        <x:v>6.5</x:v>
      </x:c>
      <x:c r="J7" s="73" t="n">
        <x:f>IF('1. Inputs &amp; Evidence'!$M$29="","",'1. Inputs &amp; Evidence'!$M$29)</x:f>
        <x:v>30</x:v>
      </x:c>
      <x:c r="K7" s="73" t="n">
        <x:f>IF(D7="direct_peak",IF(G7="","",G7),IF(OR(F7="",I7=""),"",F7*I7))</x:f>
        <x:v>25.046311475409837</x:v>
      </x:c>
      <x:c r="L7" s="73" t="n">
        <x:f>IF(OR(K7="",H7=""),"",K7*H7)</x:f>
        <x:v>17.940710382513664</x:v>
      </x:c>
      <x:c r="M7" s="62" t="n">
        <x:f>IF(OR(E7="no",J7="",J7&lt;=0,L7=""),"",L7/J7)</x:f>
        <x:v>0.5980236794171222</x:v>
      </x:c>
      <x:c r="N7" s="62" t="n">
        <x:f>IF(OR(E7="no",J7="",J7&lt;=0,K7=""),"",K7/J7)</x:f>
        <x:v>0.8348770491803279</x:v>
      </x:c>
      <x:c r="O7" s="28" t="str">
        <x:v>conditional</x:v>
      </x:c>
      <x:c r="P7" s="28" t="str">
        <x:v>conditional_scenario</x:v>
      </x:c>
      <x:c r="Q7" s="28" t="str">
        <x:v>FY2024 campus against reconstructed 30 MGD combined potable-system capacity</x:v>
      </x:c>
    </x:row>
    <x:row r="8" ht="35" customHeight="1">
      <x:c r="A8" s="25" t="str">
        <x:v>Mayes County</x:v>
      </x:c>
      <x:c r="B8" s="29" t="str">
        <x:v>mayes_fy2024_nominal_k_default_pf</x:v>
      </x:c>
      <x:c r="C8" s="29" t="str">
        <x:v>yes</x:v>
      </x:c>
      <x:c r="D8" s="29" t="str">
        <x:v>average_flow</x:v>
      </x:c>
      <x:c r="E8" s="29" t="str">
        <x:v>yes</x:v>
      </x:c>
      <x:c r="F8" s="74" t="n">
        <x:f>IF('1. Inputs &amp; Evidence'!$M$30="","",'1. Inputs &amp; Evidence'!$M$30)</x:f>
        <x:v>3.028142076502732</x:v>
      </x:c>
      <x:c r="G8" s="74" t="str">
        <x:f>""</x:f>
      </x:c>
      <x:c r="H8" s="74" t="n">
        <x:f>IF(OR('1. Inputs &amp; Evidence'!$M$31="",F8="",F8=0),"",'1. Inputs &amp; Evidence'!$M$31/F8)</x:f>
        <x:v>0.7517820084814583</x:v>
      </x:c>
      <x:c r="I8" s="74" t="n">
        <x:f>IF('1. Inputs &amp; Evidence'!$M$32="","",'1. Inputs &amp; Evidence'!$M$32)</x:f>
        <x:v>2.5</x:v>
      </x:c>
      <x:c r="J8" s="74" t="n">
        <x:f>IF('1. Inputs &amp; Evidence'!$M$33="","",'1. Inputs &amp; Evidence'!$M$33)</x:f>
        <x:v>50</x:v>
      </x:c>
      <x:c r="K8" s="74" t="n">
        <x:f>IF(D8="direct_peak",IF(G8="","",G8),IF(OR(F8="",I8=""),"",F8*I8))</x:f>
        <x:v>7.57035519125683</x:v>
      </x:c>
      <x:c r="L8" s="74" t="n">
        <x:f>IF(OR(K8="",H8=""),"",K8*H8)</x:f>
        <x:v>5.691256830601094</x:v>
      </x:c>
      <x:c r="M8" s="64" t="n">
        <x:f>IF(OR(E8="no",J8="",J8&lt;=0,L8=""),"",L8/J8)</x:f>
        <x:v>0.11382513661202187</x:v>
      </x:c>
      <x:c r="N8" s="64" t="n">
        <x:f>IF(OR(E8="no",J8="",J8&lt;=0,K8=""),"",K8/J8)</x:f>
        <x:v>0.1514071038251366</x:v>
      </x:c>
      <x:c r="O8" s="29" t="str">
        <x:v>conditional</x:v>
      </x:c>
      <x:c r="P8" s="29" t="str">
        <x:v>conditional_scenario</x:v>
      </x:c>
      <x:c r="Q8" s="29" t="str">
        <x:v>FY2024 campus against current 50 MGD nominal K with assumed PF</x:v>
      </x:c>
    </x:row>
    <x:row r="9" ht="35" customHeight="1">
      <x:c r="A9" s="24" t="str">
        <x:v>The Dalles</x:v>
      </x:c>
      <x:c r="B9" s="28" t="str">
        <x:v>the_dalles_fy2024_reliable_supply_k</x:v>
      </x:c>
      <x:c r="C9" s="28" t="str">
        <x:v>yes</x:v>
      </x:c>
      <x:c r="D9" s="28" t="str">
        <x:v>average_flow</x:v>
      </x:c>
      <x:c r="E9" s="28" t="str">
        <x:v>yes</x:v>
      </x:c>
      <x:c r="F9" s="73" t="n">
        <x:f>IF('1. Inputs &amp; Evidence'!$M$34="","",'1. Inputs &amp; Evidence'!$M$34)</x:f>
        <x:v>1.2598360655737706</x:v>
      </x:c>
      <x:c r="G9" s="73" t="str">
        <x:f>""</x:f>
      </x:c>
      <x:c r="H9" s="73" t="n">
        <x:f>IF(OR('1. Inputs &amp; Evidence'!$M$35="",F9="",F9=0),"",'1. Inputs &amp; Evidence'!$M$35/F9)</x:f>
        <x:v>0.7837779223595748</x:v>
      </x:c>
      <x:c r="I9" s="73" t="n">
        <x:f>IF('1. Inputs &amp; Evidence'!$M$36="","",'1. Inputs &amp; Evidence'!$M$36)</x:f>
        <x:v>2.21</x:v>
      </x:c>
      <x:c r="J9" s="73" t="n">
        <x:f>IF('1. Inputs &amp; Evidence'!$M$37="","",'1. Inputs &amp; Evidence'!$M$37)</x:f>
        <x:v>8.7</x:v>
      </x:c>
      <x:c r="K9" s="73" t="n">
        <x:f>IF(D9="direct_peak",IF(G9="","",G9),IF(OR(F9="",I9=""),"",F9*I9))</x:f>
        <x:v>2.784237704918033</x:v>
      </x:c>
      <x:c r="L9" s="73" t="n">
        <x:f>IF(OR(K9="",H9=""),"",K9*H9)</x:f>
        <x:v>2.1822240437158467</x:v>
      </x:c>
      <x:c r="M9" s="62" t="n">
        <x:f>IF(OR(E9="no",J9="",J9&lt;=0,L9=""),"",L9/J9)</x:f>
        <x:v>0.25083034985239616</x:v>
      </x:c>
      <x:c r="N9" s="62" t="n">
        <x:f>IF(OR(E9="no",J9="",J9&lt;=0,K9=""),"",K9/J9)</x:f>
        <x:v>0.32002732240437165</x:v>
      </x:c>
      <x:c r="O9" s="28" t="str">
        <x:v>conditional</x:v>
      </x:c>
      <x:c r="P9" s="28" t="str">
        <x:v>conditional_scenario</x:v>
      </x:c>
      <x:c r="Q9" s="28" t="str">
        <x:v>FY2024 campus against current 8.7 MGD reliable peak-season system supply</x:v>
      </x:c>
    </x:row>
    <x:row r="10" ht="35" customHeight="1">
      <x:c r="A10" s="25" t="str">
        <x:v>The Dalles</x:v>
      </x:c>
      <x:c r="B10" s="29" t="str">
        <x:v>the_dalles_fy2024_historical_k_proxy</x:v>
      </x:c>
      <x:c r="C10" s="29" t="str">
        <x:v>no</x:v>
      </x:c>
      <x:c r="D10" s="29" t="str">
        <x:v>average_flow</x:v>
      </x:c>
      <x:c r="E10" s="29" t="str">
        <x:v>yes</x:v>
      </x:c>
      <x:c r="F10" s="74" t="n">
        <x:f>IF('1. Inputs &amp; Evidence'!$M$38="","",'1. Inputs &amp; Evidence'!$M$38)</x:f>
        <x:v>1.2598360655737706</x:v>
      </x:c>
      <x:c r="G10" s="74" t="str">
        <x:f>""</x:f>
      </x:c>
      <x:c r="H10" s="74" t="n">
        <x:f>IF(OR('1. Inputs &amp; Evidence'!$M$39="",F10="",F10=0),"",'1. Inputs &amp; Evidence'!$M$39/F10)</x:f>
        <x:v>0.7837779223595748</x:v>
      </x:c>
      <x:c r="I10" s="74" t="n">
        <x:f>IF('1. Inputs &amp; Evidence'!$M$40="","",'1. Inputs &amp; Evidence'!$M$40)</x:f>
        <x:v>2.21</x:v>
      </x:c>
      <x:c r="J10" s="74" t="n">
        <x:f>IF('1. Inputs &amp; Evidence'!$M$41="","",'1. Inputs &amp; Evidence'!$M$41)</x:f>
        <x:v>4.5</x:v>
      </x:c>
      <x:c r="K10" s="74" t="n">
        <x:f>IF(D10="direct_peak",IF(G10="","",G10),IF(OR(F10="",I10=""),"",F10*I10))</x:f>
        <x:v>2.784237704918033</x:v>
      </x:c>
      <x:c r="L10" s="74" t="n">
        <x:f>IF(OR(K10="",H10=""),"",K10*H10)</x:f>
        <x:v>2.1822240437158467</x:v>
      </x:c>
      <x:c r="M10" s="64" t="n">
        <x:f>IF(OR(E10="no",J10="",J10&lt;=0,L10=""),"",L10/J10)</x:f>
        <x:v>0.4849386763812993</x:v>
      </x:c>
      <x:c r="N10" s="64" t="n">
        <x:f>IF(OR(E10="no",J10="",J10&lt;=0,K10=""),"",K10/J10)</x:f>
        <x:v>0.618719489981785</x:v>
      </x:c>
      <x:c r="O10" s="29" t="str">
        <x:v>temporal_mismatch</x:v>
      </x:c>
      <x:c r="P10" s="29" t="str">
        <x:v>within_site_scenario_only</x:v>
      </x:c>
      <x:c r="Q10" s="29" t="str">
        <x:v>FY2024 campus against historical 2006 reliable K</x:v>
      </x:c>
    </x:row>
    <x:row r="11" ht="35" customHeight="1">
      <x:c r="A11" s="24" t="str">
        <x:v>Douglas County</x:v>
      </x:c>
      <x:c r="B11" s="28" t="str">
        <x:v>douglas_combined_boundary_indeterminate</x:v>
      </x:c>
      <x:c r="C11" s="28" t="str">
        <x:v>no</x:v>
      </x:c>
      <x:c r="D11" s="28" t="str">
        <x:v>average_flow</x:v>
      </x:c>
      <x:c r="E11" s="28" t="str">
        <x:v>no</x:v>
      </x:c>
      <x:c r="F11" s="73" t="n">
        <x:f>IF('1. Inputs &amp; Evidence'!$M$42="","",'1. Inputs &amp; Evidence'!$M$42)</x:f>
        <x:v>1.2133879781420767</x:v>
      </x:c>
      <x:c r="G11" s="73" t="str">
        <x:f>""</x:f>
      </x:c>
      <x:c r="H11" s="73" t="n">
        <x:f>IF(OR('1. Inputs &amp; Evidence'!$M$43="",F11="",F11=0),"",'1. Inputs &amp; Evidence'!$M$43/F11)</x:f>
        <x:v>0.82616527809052</x:v>
      </x:c>
      <x:c r="I11" s="73" t="n">
        <x:f>IF('1. Inputs &amp; Evidence'!$M$44="","",'1. Inputs &amp; Evidence'!$M$44)</x:f>
        <x:v>2.5</x:v>
      </x:c>
      <x:c r="J11" s="73" t="str">
        <x:f>IF('1. Inputs &amp; Evidence'!$M$45="","",'1. Inputs &amp; Evidence'!$M$45)</x:f>
      </x:c>
      <x:c r="K11" s="73" t="n">
        <x:f>IF(D11="direct_peak",IF(G11="","",G11),IF(OR(F11="",I11=""),"",F11*I11))</x:f>
        <x:v>3.0334699453551917</x:v>
      </x:c>
      <x:c r="L11" s="73" t="n">
        <x:f>IF(OR(K11="",H11=""),"",K11*H11)</x:f>
        <x:v>2.5061475409836063</x:v>
      </x:c>
      <x:c r="M11" s="62" t="str">
        <x:f>IF(OR(E11="no",J11="",J11&lt;=0,L11=""),"",L11/J11)</x:f>
      </x:c>
      <x:c r="N11" s="62" t="str">
        <x:f>IF(OR(E11="no",J11="",J11&lt;=0,K11=""),"",K11/J11)</x:f>
      </x:c>
      <x:c r="O11" s="28" t="str">
        <x:v>fail</x:v>
      </x:c>
      <x:c r="P11" s="28" t="str">
        <x:v>not_admissible</x:v>
      </x:c>
      <x:c r="Q11" s="28" t="str">
        <x:v>FY2024 combined campus water with no matched combined K</x:v>
      </x:c>
    </x:row>
    <x:row r="12" ht="35" customHeight="1">
      <x:c r="A12" s="25" t="str">
        <x:v>Douglas County</x:v>
      </x:c>
      <x:c r="B12" s="29" t="str">
        <x:v>douglas_reclaimed_subsystem_wci_pdlr</x:v>
      </x:c>
      <x:c r="C12" s="29" t="str">
        <x:v>yes</x:v>
      </x:c>
      <x:c r="D12" s="29" t="str">
        <x:v>average_flow</x:v>
      </x:c>
      <x:c r="E12" s="29" t="str">
        <x:v>yes</x:v>
      </x:c>
      <x:c r="F12" s="74" t="n">
        <x:f>IF('1. Inputs &amp; Evidence'!$M$46="","",'1. Inputs &amp; Evidence'!$M$46)</x:f>
        <x:v>1.1931693989071037</x:v>
      </x:c>
      <x:c r="G12" s="74" t="str">
        <x:f>""</x:f>
      </x:c>
      <x:c r="H12" s="74" t="n">
        <x:f>IF('1. Inputs &amp; Evidence'!$M$47="","",'1. Inputs &amp; Evidence'!$M$47)</x:f>
        <x:v>0.8261652780905201</x:v>
      </x:c>
      <x:c r="I12" s="74" t="n">
        <x:f>IF('1. Inputs &amp; Evidence'!$M$48="","",'1. Inputs &amp; Evidence'!$M$48)</x:f>
        <x:v>2.5</x:v>
      </x:c>
      <x:c r="J12" s="74" t="n">
        <x:f>IF('1. Inputs &amp; Evidence'!$M$49="","",'1. Inputs &amp; Evidence'!$M$49)</x:f>
        <x:v>3</x:v>
      </x:c>
      <x:c r="K12" s="74" t="n">
        <x:f>IF(D12="direct_peak",IF(G12="","",G12),IF(OR(F12="",I12=""),"",F12*I12))</x:f>
        <x:v>2.9829234972677594</x:v>
      </x:c>
      <x:c r="L12" s="74" t="n">
        <x:f>IF(OR(K12="",H12=""),"",K12*H12)</x:f>
        <x:v>2.464387820642965</x:v>
      </x:c>
      <x:c r="M12" s="64" t="n">
        <x:f>IF(OR(E12="no",J12="",J12&lt;=0,L12=""),"",L12/J12)</x:f>
        <x:v>0.8214626068809884</x:v>
      </x:c>
      <x:c r="N12" s="64" t="n">
        <x:f>IF(OR(E12="no",J12="",J12&lt;=0,K12=""),"",K12/J12)</x:f>
        <x:v>0.9943078324225865</x:v>
      </x:c>
      <x:c r="O12" s="29" t="str">
        <x:v>conditional</x:v>
      </x:c>
      <x:c r="P12" s="29" t="str">
        <x:v>conditional_scenario</x:v>
      </x:c>
      <x:c r="Q12" s="29" t="str">
        <x:v>FY2024 reclaimed-water pathway against 3 MGD reclaimed subsystem K</x:v>
      </x:c>
    </x:row>
    <x:row r="13" ht="35" customHeight="1">
      <x:c r="A13" s="24" t="str">
        <x:v>Wisconsin site</x:v>
      </x:c>
      <x:c r="B13" s="28" t="str">
        <x:v>wisconsin_40_mgd_2021_context</x:v>
      </x:c>
      <x:c r="C13" s="28" t="str">
        <x:v>yes</x:v>
      </x:c>
      <x:c r="D13" s="28" t="str">
        <x:v>direct_peak</x:v>
      </x:c>
      <x:c r="E13" s="28" t="str">
        <x:v>yes</x:v>
      </x:c>
      <x:c r="F13" s="73" t="n">
        <x:f>IF('1. Inputs &amp; Evidence'!$M$50="","",'1. Inputs &amp; Evidence'!$M$50)</x:f>
        <x:v>0.023013698630137</x:v>
      </x:c>
      <x:c r="G13" s="73" t="n">
        <x:f>IF('1. Inputs &amp; Evidence'!$M$51="","",'1. Inputs &amp; Evidence'!$M$51)</x:f>
        <x:v>0.702</x:v>
      </x:c>
      <x:c r="H13" s="73" t="n">
        <x:f>IF('1. Inputs &amp; Evidence'!$M$52="","",'1. Inputs &amp; Evidence'!$M$52)</x:f>
        <x:v>0.77</x:v>
      </x:c>
      <x:c r="I13" s="73" t="str">
        <x:f>""</x:f>
      </x:c>
      <x:c r="J13" s="73" t="n">
        <x:f>IF('1. Inputs &amp; Evidence'!$M$53="","",'1. Inputs &amp; Evidence'!$M$53)</x:f>
        <x:v>40</x:v>
      </x:c>
      <x:c r="K13" s="73" t="n">
        <x:f>IF(D13="direct_peak",IF(G13="","",G13),IF(OR(F13="",I13=""),"",F13*I13))</x:f>
        <x:v>0.702</x:v>
      </x:c>
      <x:c r="L13" s="73" t="n">
        <x:f>IF(OR(K13="",H13=""),"",K13*H13)</x:f>
        <x:v>0.54054</x:v>
      </x:c>
      <x:c r="M13" s="62" t="n">
        <x:f>IF(OR(E13="no",J13="",J13&lt;=0,L13=""),"",L13/J13)</x:f>
        <x:v>0.013513500000000001</x:v>
      </x:c>
      <x:c r="N13" s="62" t="n">
        <x:f>IF(OR(E13="no",J13="",J13&lt;=0,K13=""),"",K13/J13)</x:f>
        <x:v>0.01755</x:v>
      </x:c>
      <x:c r="O13" s="28" t="str">
        <x:v>conditional</x:v>
      </x:c>
      <x:c r="P13" s="28" t="str">
        <x:v>conditional_confirmation_pending</x:v>
      </x:c>
      <x:c r="Q13" s="28" t="str">
        <x:v>Planned peak against 40 MGD Racine system capacity in 2021 context</x:v>
      </x:c>
    </x:row>
    <x:row r="14" ht="35" customHeight="1">
      <x:c r="A14" s="25" t="str">
        <x:v>Botetourt County</x:v>
      </x:c>
      <x:c r="B14" s="29" t="str">
        <x:v>botetourt_peak_reservation_24_mgd_k</x:v>
      </x:c>
      <x:c r="C14" s="29" t="str">
        <x:v>yes</x:v>
      </x:c>
      <x:c r="D14" s="29" t="str">
        <x:v>direct_peak</x:v>
      </x:c>
      <x:c r="E14" s="29" t="str">
        <x:v>yes</x:v>
      </x:c>
      <x:c r="F14" s="74" t="str">
        <x:f>""</x:f>
      </x:c>
      <x:c r="G14" s="74" t="n">
        <x:f>IF('1. Inputs &amp; Evidence'!$M$54="","",'1. Inputs &amp; Evidence'!$M$54)</x:f>
        <x:v>2</x:v>
      </x:c>
      <x:c r="H14" s="74" t="n">
        <x:f>IF('1. Inputs &amp; Evidence'!$M$55="","",'1. Inputs &amp; Evidence'!$M$55)</x:f>
        <x:v>0.77</x:v>
      </x:c>
      <x:c r="I14" s="74" t="str">
        <x:f>""</x:f>
      </x:c>
      <x:c r="J14" s="74" t="n">
        <x:f>IF('1. Inputs &amp; Evidence'!$M$56="","",'1. Inputs &amp; Evidence'!$M$56)</x:f>
        <x:v>24</x:v>
      </x:c>
      <x:c r="K14" s="74" t="n">
        <x:f>IF(D14="direct_peak",IF(G14="","",G14),IF(OR(F14="",I14=""),"",F14*I14))</x:f>
        <x:v>2</x:v>
      </x:c>
      <x:c r="L14" s="74" t="n">
        <x:f>IF(OR(K14="",H14=""),"",K14*H14)</x:f>
        <x:v>1.54</x:v>
      </x:c>
      <x:c r="M14" s="64" t="n">
        <x:f>IF(OR(E14="no",J14="",J14&lt;=0,L14=""),"",L14/J14)</x:f>
        <x:v>0.06416666666666666</x:v>
      </x:c>
      <x:c r="N14" s="64" t="n">
        <x:f>IF(OR(E14="no",J14="",J14&lt;=0,K14=""),"",K14/J14)</x:f>
        <x:v>0.08333333333333333</x:v>
      </x:c>
      <x:c r="O14" s="29" t="str">
        <x:v>conditional</x:v>
      </x:c>
      <x:c r="P14" s="29" t="str">
        <x:v>scenario_only</x:v>
      </x:c>
      <x:c r="Q14" s="29" t="str">
        <x:v>2 MGD maximum reservation against 24 MGD Carvins Cove WTP</x:v>
      </x:c>
    </x:row>
    <x:row r="15" ht="35" customHeight="1">
      <x:c r="A15" s="24" t="str">
        <x:v>Memphis</x:v>
      </x:c>
      <x:c r="B15" s="28" t="str">
        <x:v>memphis_peak_system_258</x:v>
      </x:c>
      <x:c r="C15" s="28" t="str">
        <x:v>no</x:v>
      </x:c>
      <x:c r="D15" s="28" t="str">
        <x:v>direct_peak</x:v>
      </x:c>
      <x:c r="E15" s="28" t="str">
        <x:v>yes</x:v>
      </x:c>
      <x:c r="F15" s="73" t="str">
        <x:f>""</x:f>
      </x:c>
      <x:c r="G15" s="73" t="n">
        <x:f>IF('1. Inputs &amp; Evidence'!$M$57="","",'1. Inputs &amp; Evidence'!$M$57)</x:f>
        <x:v>1</x:v>
      </x:c>
      <x:c r="H15" s="73" t="n">
        <x:f>IF('1. Inputs &amp; Evidence'!$M$58="","",'1. Inputs &amp; Evidence'!$M$58)</x:f>
        <x:v>0.77</x:v>
      </x:c>
      <x:c r="I15" s="73" t="str">
        <x:f>""</x:f>
      </x:c>
      <x:c r="J15" s="73" t="n">
        <x:f>IF('1. Inputs &amp; Evidence'!$M$59="","",'1. Inputs &amp; Evidence'!$M$59)</x:f>
        <x:v>258</x:v>
      </x:c>
      <x:c r="K15" s="73" t="n">
        <x:f>IF(D15="direct_peak",IF(G15="","",G15),IF(OR(F15="",I15=""),"",F15*I15))</x:f>
        <x:v>1</x:v>
      </x:c>
      <x:c r="L15" s="73" t="n">
        <x:f>IF(OR(K15="",H15=""),"",K15*H15)</x:f>
        <x:v>0.77</x:v>
      </x:c>
      <x:c r="M15" s="62" t="n">
        <x:f>IF(OR(E15="no",J15="",J15&lt;=0,L15=""),"",L15/J15)</x:f>
        <x:v>0.002984496124031008</x:v>
      </x:c>
      <x:c r="N15" s="62" t="n">
        <x:f>IF(OR(E15="no",J15="",J15&lt;=0,K15=""),"",K15/J15)</x:f>
        <x:v>0.003875968992248062</x:v>
      </x:c>
      <x:c r="O15" s="28" t="str">
        <x:v>system</x:v>
      </x:c>
      <x:c r="P15" s="28" t="str">
        <x:v>within_site_scenario_only</x:v>
      </x:c>
      <x:c r="Q15" s="28" t="str">
        <x:v>1 MGD service maximum against 258 MGD MLGW system K</x:v>
      </x:c>
    </x:row>
    <x:row r="16" ht="35" customHeight="1">
      <x:c r="A16" s="25" t="str">
        <x:v>Memphis</x:v>
      </x:c>
      <x:c r="B16" s="29" t="str">
        <x:v>memphis_peak_serving_plant_30</x:v>
      </x:c>
      <x:c r="C16" s="29" t="str">
        <x:v>yes</x:v>
      </x:c>
      <x:c r="D16" s="29" t="str">
        <x:v>direct_peak</x:v>
      </x:c>
      <x:c r="E16" s="29" t="str">
        <x:v>yes</x:v>
      </x:c>
      <x:c r="F16" s="74" t="str">
        <x:f>""</x:f>
      </x:c>
      <x:c r="G16" s="74" t="n">
        <x:f>IF('1. Inputs &amp; Evidence'!$M$60="","",'1. Inputs &amp; Evidence'!$M$60)</x:f>
        <x:v>1</x:v>
      </x:c>
      <x:c r="H16" s="74" t="n">
        <x:f>IF('1. Inputs &amp; Evidence'!$M$61="","",'1. Inputs &amp; Evidence'!$M$61)</x:f>
        <x:v>0.77</x:v>
      </x:c>
      <x:c r="I16" s="74" t="str">
        <x:f>""</x:f>
      </x:c>
      <x:c r="J16" s="74" t="n">
        <x:f>IF('1. Inputs &amp; Evidence'!$M$62="","",'1. Inputs &amp; Evidence'!$M$62)</x:f>
        <x:v>30</x:v>
      </x:c>
      <x:c r="K16" s="74" t="n">
        <x:f>IF(D16="direct_peak",IF(G16="","",G16),IF(OR(F16="",I16=""),"",F16*I16))</x:f>
        <x:v>1</x:v>
      </x:c>
      <x:c r="L16" s="74" t="n">
        <x:f>IF(OR(K16="",H16=""),"",K16*H16)</x:f>
        <x:v>0.77</x:v>
      </x:c>
      <x:c r="M16" s="64" t="n">
        <x:f>IF(OR(E16="no",J16="",J16&lt;=0,L16=""),"",L16/J16)</x:f>
        <x:v>0.025666666666666667</x:v>
      </x:c>
      <x:c r="N16" s="64" t="n">
        <x:f>IF(OR(E16="no",J16="",J16&lt;=0,K16=""),"",K16/J16)</x:f>
        <x:v>0.03333333333333333</x:v>
      </x:c>
      <x:c r="O16" s="29" t="str">
        <x:v>conditional</x:v>
      </x:c>
      <x:c r="P16" s="29" t="str">
        <x:v>scenario_only</x:v>
      </x:c>
      <x:c r="Q16" s="29" t="str">
        <x:v>1 MGD service maximum against 30 MGD Davis WTP K</x:v>
      </x:c>
    </x:row>
    <x:row r="17" ht="35" customHeight="1">
      <x:c r="A17" s="24" t="str">
        <x:v>Midlothian</x:v>
      </x:c>
      <x:c r="B17" s="28" t="str">
        <x:v>midlothian_fy2024_nominal_k_default_pf</x:v>
      </x:c>
      <x:c r="C17" s="28" t="str">
        <x:v>yes</x:v>
      </x:c>
      <x:c r="D17" s="28" t="str">
        <x:v>average_flow</x:v>
      </x:c>
      <x:c r="E17" s="28" t="str">
        <x:v>yes</x:v>
      </x:c>
      <x:c r="F17" s="73" t="n">
        <x:f>IF('1. Inputs &amp; Evidence'!$M$63="","",'1. Inputs &amp; Evidence'!$M$63)</x:f>
        <x:v>0.6038251366120219</x:v>
      </x:c>
      <x:c r="G17" s="73" t="str">
        <x:f>""</x:f>
      </x:c>
      <x:c r="H17" s="73" t="n">
        <x:f>IF(OR('1. Inputs &amp; Evidence'!$M$64="",F17="",F17=0),"",'1. Inputs &amp; Evidence'!$M$64/F17)</x:f>
        <x:v>0.8248868778280544</x:v>
      </x:c>
      <x:c r="I17" s="73" t="n">
        <x:f>IF('1. Inputs &amp; Evidence'!$M$65="","",'1. Inputs &amp; Evidence'!$M$65)</x:f>
        <x:v>2.5</x:v>
      </x:c>
      <x:c r="J17" s="73" t="n">
        <x:f>IF('1. Inputs &amp; Evidence'!$M$66="","",'1. Inputs &amp; Evidence'!$M$66)</x:f>
        <x:v>36</x:v>
      </x:c>
      <x:c r="K17" s="73" t="n">
        <x:f>IF(D17="direct_peak",IF(G17="","",G17),IF(OR(F17="",I17=""),"",F17*I17))</x:f>
        <x:v>1.5095628415300546</x:v>
      </x:c>
      <x:c r="L17" s="73" t="n">
        <x:f>IF(OR(K17="",H17=""),"",K17*H17)</x:f>
        <x:v>1.2452185792349728</x:v>
      </x:c>
      <x:c r="M17" s="62" t="n">
        <x:f>IF(OR(E17="no",J17="",J17&lt;=0,L17=""),"",L17/J17)</x:f>
        <x:v>0.034589404978749246</x:v>
      </x:c>
      <x:c r="N17" s="62" t="n">
        <x:f>IF(OR(E17="no",J17="",J17&lt;=0,K17=""),"",K17/J17)</x:f>
        <x:v>0.04193230115361263</x:v>
      </x:c>
      <x:c r="O17" s="28" t="str">
        <x:v>conditional</x:v>
      </x:c>
      <x:c r="P17" s="28" t="str">
        <x:v>conditional_scenario</x:v>
      </x:c>
      <x:c r="Q17" s="28" t="str">
        <x:v>FY2024 campus against 36 MGD nominal K with assumed PF</x:v>
      </x:c>
    </x:row>
    <x:row r="18" ht="35" customHeight="1">
      <x:c r="A18" s="25" t="str">
        <x:v>Henderson</x:v>
      </x:c>
      <x:c r="B18" s="29" t="str">
        <x:v>henderson_fy2024_regional_gross_capacity</x:v>
      </x:c>
      <x:c r="C18" s="29" t="str">
        <x:v>yes</x:v>
      </x:c>
      <x:c r="D18" s="29" t="str">
        <x:v>average_flow</x:v>
      </x:c>
      <x:c r="E18" s="29" t="str">
        <x:v>yes</x:v>
      </x:c>
      <x:c r="F18" s="74" t="n">
        <x:f>IF('1. Inputs &amp; Evidence'!$M$67="","",'1. Inputs &amp; Evidence'!$M$67)</x:f>
        <x:v>0.9833333333333333</x:v>
      </x:c>
      <x:c r="G18" s="74" t="str">
        <x:f>""</x:f>
      </x:c>
      <x:c r="H18" s="74" t="n">
        <x:f>IF(OR('1. Inputs &amp; Evidence'!$M$68="",F18="",F18=0),"",'1. Inputs &amp; Evidence'!$M$68/F18)</x:f>
        <x:v>0.576271186440678</x:v>
      </x:c>
      <x:c r="I18" s="74" t="n">
        <x:f>IF('1. Inputs &amp; Evidence'!$M$69="","",'1. Inputs &amp; Evidence'!$M$69)</x:f>
        <x:v>2.5</x:v>
      </x:c>
      <x:c r="J18" s="74" t="n">
        <x:f>IF('1. Inputs &amp; Evidence'!$M$70="","",'1. Inputs &amp; Evidence'!$M$70)</x:f>
        <x:v>900</x:v>
      </x:c>
      <x:c r="K18" s="74" t="n">
        <x:f>IF(D18="direct_peak",IF(G18="","",G18),IF(OR(F18="",I18=""),"",F18*I18))</x:f>
        <x:v>2.458333333333333</x:v>
      </x:c>
      <x:c r="L18" s="74" t="n">
        <x:f>IF(OR(K18="",H18=""),"",K18*H18)</x:f>
        <x:v>1.4166666666666665</x:v>
      </x:c>
      <x:c r="M18" s="64" t="n">
        <x:f>IF(OR(E18="no",J18="",J18&lt;=0,L18=""),"",L18/J18)</x:f>
        <x:v>0.0015740740740740739</x:v>
      </x:c>
      <x:c r="N18" s="64" t="n">
        <x:f>IF(OR(E18="no",J18="",J18&lt;=0,K18=""),"",K18/J18)</x:f>
        <x:v>0.002731481481481481</x:v>
      </x:c>
      <x:c r="O18" s="29" t="str">
        <x:v>regional</x:v>
      </x:c>
      <x:c r="P18" s="29" t="str">
        <x:v>regional_scenario_only</x:v>
      </x:c>
      <x:c r="Q18" s="29" t="str">
        <x:v>FY2024 campus against 900 MGD SNWA regional gross capacity</x:v>
      </x:c>
    </x:row>
    <x:row r="19">
      <x:c r="A19" s="32"/>
      <x:c r="B19" s="32"/>
      <x:c r="C19" s="32"/>
      <x:c r="D19" s="32"/>
      <x:c r="E19" s="32"/>
      <x:c r="F19" s="32"/>
      <x:c r="G19" s="32"/>
      <x:c r="H19" s="32"/>
      <x:c r="I19" s="32"/>
      <x:c r="J19" s="32"/>
      <x:c r="K19" s="32"/>
      <x:c r="L19" s="32"/>
      <x:c r="M19" s="32"/>
      <x:c r="N19" s="32"/>
      <x:c r="O19" s="32"/>
      <x:c r="P19" s="32"/>
      <x:c r="Q19" s="32"/>
    </x:row>
    <x:row r="20">
      <x:c r="A20" s="32"/>
      <x:c r="B20" s="32"/>
      <x:c r="C20" s="32"/>
      <x:c r="D20" s="32"/>
      <x:c r="E20" s="32"/>
      <x:c r="F20" s="32"/>
      <x:c r="G20" s="32"/>
      <x:c r="H20" s="32"/>
      <x:c r="I20" s="32"/>
      <x:c r="J20" s="32"/>
      <x:c r="K20" s="32"/>
      <x:c r="L20" s="32"/>
      <x:c r="M20" s="32"/>
      <x:c r="N20" s="32"/>
      <x:c r="O20" s="32"/>
      <x:c r="P20" s="32"/>
      <x:c r="Q20" s="32"/>
    </x:row>
    <x:row r="21" ht="20" customHeight="1">
      <x:c r="A21" s="12" t="str">
        <x:v>Case-specific parameter-range uncertainty check</x:v>
      </x:c>
      <x:c r="B21" s="13" t="str">
        <x:v>Case-specific parameter-range uncertainty check</x:v>
      </x:c>
      <x:c r="C21" s="13" t="str">
        <x:v>Case-specific parameter-range uncertainty check</x:v>
      </x:c>
      <x:c r="D21" s="13" t="str">
        <x:v>Case-specific parameter-range uncertainty check</x:v>
      </x:c>
      <x:c r="E21" s="13" t="str">
        <x:v>Case-specific parameter-range uncertainty check</x:v>
      </x:c>
      <x:c r="F21" s="13" t="str">
        <x:v>Case-specific parameter-range uncertainty check</x:v>
      </x:c>
      <x:c r="G21" s="13" t="str">
        <x:v>Case-specific parameter-range uncertainty check</x:v>
      </x:c>
      <x:c r="H21" s="13" t="str">
        <x:v>Case-specific parameter-range uncertainty check</x:v>
      </x:c>
      <x:c r="I21" s="13" t="str">
        <x:v>Case-specific parameter-range uncertainty check</x:v>
      </x:c>
      <x:c r="J21" s="13" t="str">
        <x:v>Case-specific parameter-range uncertainty check</x:v>
      </x:c>
      <x:c r="K21" s="13" t="str">
        <x:v>Case-specific parameter-range uncertainty check</x:v>
      </x:c>
      <x:c r="L21" s="13" t="str">
        <x:v>Case-specific parameter-range uncertainty check</x:v>
      </x:c>
      <x:c r="M21" s="13" t="str">
        <x:v>Case-specific parameter-range uncertainty check</x:v>
      </x:c>
      <x:c r="N21" s="13" t="str">
        <x:v>Case-specific parameter-range uncertainty check</x:v>
      </x:c>
      <x:c r="O21" s="13" t="str">
        <x:v>Case-specific parameter-range uncertainty check</x:v>
      </x:c>
      <x:c r="P21" s="13" t="str">
        <x:v>Case-specific parameter-range uncertainty check</x:v>
      </x:c>
      <x:c r="Q21" s="14" t="str">
        <x:v>Case-specific parameter-range uncertainty check</x:v>
      </x:c>
    </x:row>
    <x:row r="22">
      <x:c r="A22" s="21" t="str">
        <x:v>Site</x:v>
      </x:c>
      <x:c r="B22" s="21" t="str">
        <x:v>Scenario ID</x:v>
      </x:c>
      <x:c r="C22" s="21" t="str">
        <x:v>Branch</x:v>
      </x:c>
      <x:c r="D22" s="21" t="str">
        <x:v>Varied parameter</x:v>
      </x:c>
      <x:c r="E22" s="21" t="str">
        <x:v>Low</x:v>
      </x:c>
      <x:c r="F22" s="21" t="str">
        <x:v>Central</x:v>
      </x:c>
      <x:c r="G22" s="21" t="str">
        <x:v>High</x:v>
      </x:c>
      <x:c r="H22" s="21" t="str">
        <x:v>WCI low</x:v>
      </x:c>
      <x:c r="I22" s="21" t="str">
        <x:v>WCI central</x:v>
      </x:c>
      <x:c r="J22" s="21" t="str">
        <x:v>WCI high</x:v>
      </x:c>
      <x:c r="K22" s="21" t="str">
        <x:v>PDLR low</x:v>
      </x:c>
      <x:c r="L22" s="21" t="str">
        <x:v>PDLR central</x:v>
      </x:c>
      <x:c r="M22" s="21" t="str">
        <x:v>PDLR high</x:v>
      </x:c>
      <x:c r="N22" s="21" t="str">
        <x:v>WCI gap to next</x:v>
      </x:c>
      <x:c r="O22" s="21" t="str">
        <x:v>PDLR gap to next</x:v>
      </x:c>
      <x:c r="P22" s="21" t="str">
        <x:v>Order stable</x:v>
      </x:c>
      <x:c r="Q22" s="21" t="str">
        <x:v>Range basis</x:v>
      </x:c>
    </x:row>
    <x:row r="23" ht="38" customHeight="1">
      <x:c r="A23" s="24" t="str">
        <x:v>Mayes County</x:v>
      </x:c>
      <x:c r="B23" s="24" t="str">
        <x:v>mayes_fy2024_nominal_k_default_pf</x:v>
      </x:c>
      <x:c r="C23" s="24" t="str">
        <x:v>average_flow</x:v>
      </x:c>
      <x:c r="D23" s="24" t="str">
        <x:v>PF</x:v>
      </x:c>
      <x:c r="E23" s="75" t="n">
        <x:v>2</x:v>
      </x:c>
      <x:c r="F23" s="76" t="n">
        <x:f>IF(D23="PF",IF(I8="","",I8),IF(H8="","",H8))</x:f>
        <x:v>2.5</x:v>
      </x:c>
      <x:c r="G23" s="75" t="n">
        <x:v>4</x:v>
      </x:c>
      <x:c r="H23" s="37" t="n">
        <x:f>IF(OR(M8="",N8="",E23=""),"",IF(D23="PF",IF(OR(I8="",I8=0),"",M8/I8*E23),N8*E23))</x:f>
        <x:v>0.0910601092896175</x:v>
      </x:c>
      <x:c r="I23" s="37" t="n">
        <x:f>IF(M8="","",M8)</x:f>
        <x:v>0.11382513661202187</x:v>
      </x:c>
      <x:c r="J23" s="37" t="n">
        <x:f>IF(OR(M8="",N8="",G23=""),"",IF(D23="PF",IF(OR(I8="",I8=0),"",M8/I8*G23),N8*G23))</x:f>
        <x:v>0.182120218579235</x:v>
      </x:c>
      <x:c r="K23" s="37" t="n">
        <x:f>IF(N8="","",IF(D23="PF",IF(OR(I8="",I8=0,E23=""),"",N8/I8*E23),N8))</x:f>
        <x:v>0.12112568306010929</x:v>
      </x:c>
      <x:c r="L23" s="37" t="n">
        <x:f>IF(N8="","",N8)</x:f>
        <x:v>0.1514071038251366</x:v>
      </x:c>
      <x:c r="M23" s="37" t="n">
        <x:f>IF(N8="","",IF(D23="PF",IF(OR(I8="",I8=0,G23=""),"",N8/I8*G23),N8))</x:f>
        <x:v>0.24225136612021858</x:v>
      </x:c>
      <x:c r="N23" s="37" t="n">
        <x:f>IF(OR(H23="",J24=""),"",H23-J24)</x:f>
        <x:v>0.0160601092896175</x:v>
      </x:c>
      <x:c r="O23" s="37" t="n">
        <x:f>IF(OR(K23="",M24=""),"",K23-M24)</x:f>
        <x:v>0.03779234972677596</x:v>
      </x:c>
      <x:c r="P23" s="24" t="str">
        <x:f>IF(OR(N23="",O23=""),"",IF(AND(N23&gt;0,O23&gt;0),"yes","no"))</x:f>
        <x:v>yes</x:v>
      </x:c>
      <x:c r="Q23" s="28" t="str">
        <x:v>Deterministic municipal peaking-factor range used for the case-specific uncertainty check</x:v>
      </x:c>
    </x:row>
    <x:row r="24" ht="38" customHeight="1">
      <x:c r="A24" s="25" t="str">
        <x:v>Botetourt County</x:v>
      </x:c>
      <x:c r="B24" s="25" t="str">
        <x:v>botetourt_peak_reservation_24_mgd_k</x:v>
      </x:c>
      <x:c r="C24" s="25" t="str">
        <x:v>direct_peak</x:v>
      </x:c>
      <x:c r="D24" s="25" t="str">
        <x:v>r</x:v>
      </x:c>
      <x:c r="E24" s="75" t="n">
        <x:v>0.7</x:v>
      </x:c>
      <x:c r="F24" s="77" t="n">
        <x:f>IF(D24="PF",IF(I14="","",I14),IF(H14="","",H14))</x:f>
        <x:v>0.77</x:v>
      </x:c>
      <x:c r="G24" s="75" t="n">
        <x:v>0.9</x:v>
      </x:c>
      <x:c r="H24" s="38" t="n">
        <x:f>IF(OR(M14="",N14="",E24=""),"",IF(D24="PF",IF(OR(I14="",I14=0),"",M14/I14*E24),N14*E24))</x:f>
        <x:v>0.05833333333333333</x:v>
      </x:c>
      <x:c r="I24" s="38" t="n">
        <x:f>IF(M14="","",M14)</x:f>
        <x:v>0.06416666666666666</x:v>
      </x:c>
      <x:c r="J24" s="38" t="n">
        <x:f>IF(OR(M14="",N14="",G24=""),"",IF(D24="PF",IF(OR(I14="",I14=0),"",M14/I14*G24),N14*G24))</x:f>
        <x:v>0.075</x:v>
      </x:c>
      <x:c r="K24" s="38" t="n">
        <x:f>IF(N14="","",IF(D24="PF",IF(OR(I14="",I14=0,E24=""),"",N14/I14*E24),N14))</x:f>
        <x:v>0.08333333333333333</x:v>
      </x:c>
      <x:c r="L24" s="38" t="n">
        <x:f>IF(N14="","",N14)</x:f>
        <x:v>0.08333333333333333</x:v>
      </x:c>
      <x:c r="M24" s="38" t="n">
        <x:f>IF(N14="","",IF(D24="PF",IF(OR(I14="",I14=0,G24=""),"",N14/I14*G24),N14))</x:f>
        <x:v>0.08333333333333333</x:v>
      </x:c>
      <x:c r="N24" s="38" t="n">
        <x:f>IF(OR(H24="",J25=""),"",H24-J25)</x:f>
        <x:v>0.002990285367334533</x:v>
      </x:c>
      <x:c r="O24" s="38" t="n">
        <x:f>IF(OR(K24="",M25=""),"",K24-M25)</x:f>
        <x:v>0.01624165148755312</x:v>
      </x:c>
      <x:c r="P24" s="25" t="str">
        <x:f>IF(OR(N24="",O24=""),"",IF(AND(N24&gt;0,O24&gt;0),"yes","no"))</x:f>
        <x:v>yes</x:v>
      </x:c>
      <x:c r="Q24" s="29" t="str">
        <x:v>Deterministic consumptive-ratio range cited for the case-specific uncertainty check</x:v>
      </x:c>
    </x:row>
    <x:row r="25" ht="38" customHeight="1">
      <x:c r="A25" s="24" t="str">
        <x:v>Midlothian</x:v>
      </x:c>
      <x:c r="B25" s="24" t="str">
        <x:v>midlothian_fy2024_nominal_k_default_pf</x:v>
      </x:c>
      <x:c r="C25" s="24" t="str">
        <x:v>average_flow</x:v>
      </x:c>
      <x:c r="D25" s="24" t="str">
        <x:v>PF</x:v>
      </x:c>
      <x:c r="E25" s="75" t="n">
        <x:v>2</x:v>
      </x:c>
      <x:c r="F25" s="76" t="n">
        <x:f>IF(D25="PF",IF(I17="","",I17),IF(H17="","",H17))</x:f>
        <x:v>2.5</x:v>
      </x:c>
      <x:c r="G25" s="75" t="n">
        <x:v>4</x:v>
      </x:c>
      <x:c r="H25" s="37" t="n">
        <x:f>IF(OR(M17="",N17="",E25=""),"",IF(D25="PF",IF(OR(I17="",I17=0),"",M17/I17*E25),N17*E25))</x:f>
        <x:v>0.027671523982999397</x:v>
      </x:c>
      <x:c r="I25" s="37" t="n">
        <x:f>IF(M17="","",M17)</x:f>
        <x:v>0.034589404978749246</x:v>
      </x:c>
      <x:c r="J25" s="37" t="n">
        <x:f>IF(OR(M17="",N17="",G25=""),"",IF(D25="PF",IF(OR(I17="",I17=0),"",M17/I17*G25),N17*G25))</x:f>
        <x:v>0.055343047965998794</x:v>
      </x:c>
      <x:c r="K25" s="37" t="n">
        <x:f>IF(N17="","",IF(D25="PF",IF(OR(I17="",I17=0,E25=""),"",N17/I17*E25),N17))</x:f>
        <x:v>0.033545840922890105</x:v>
      </x:c>
      <x:c r="L25" s="37" t="n">
        <x:f>IF(N17="","",N17)</x:f>
        <x:v>0.04193230115361263</x:v>
      </x:c>
      <x:c r="M25" s="37" t="n">
        <x:f>IF(N17="","",IF(D25="PF",IF(OR(I17="",I17=0,G25=""),"",N17/I17*G25),N17))</x:f>
        <x:v>0.06709168184578021</x:v>
      </x:c>
      <x:c r="N25" s="37" t="n">
        <x:f>IF(OR(H25="",J26=""),"",H25-J26)</x:f>
        <x:v>0.02515300546448088</x:v>
      </x:c>
      <x:c r="O25" s="37" t="n">
        <x:f>IF(OR(K25="",M26=""),"",K25-M26)</x:f>
        <x:v>0.029175470552519733</x:v>
      </x:c>
      <x:c r="P25" s="24" t="str">
        <x:f>IF(OR(N25="",O25=""),"",IF(AND(N25&gt;0,O25&gt;0),"yes","no"))</x:f>
        <x:v>yes</x:v>
      </x:c>
      <x:c r="Q25" s="28" t="str">
        <x:v>Deterministic municipal peaking-factor range used for the case-specific uncertainty check</x:v>
      </x:c>
    </x:row>
    <x:row r="26" ht="38" customHeight="1">
      <x:c r="A26" s="25" t="str">
        <x:v>Henderson</x:v>
      </x:c>
      <x:c r="B26" s="25" t="str">
        <x:v>henderson_fy2024_regional_gross_capacity</x:v>
      </x:c>
      <x:c r="C26" s="25" t="str">
        <x:v>average_flow</x:v>
      </x:c>
      <x:c r="D26" s="25" t="str">
        <x:v>PF</x:v>
      </x:c>
      <x:c r="E26" s="75" t="n">
        <x:v>2</x:v>
      </x:c>
      <x:c r="F26" s="77" t="n">
        <x:f>IF(D26="PF",IF(I18="","",I18),IF(H18="","",H18))</x:f>
        <x:v>2.5</x:v>
      </x:c>
      <x:c r="G26" s="75" t="n">
        <x:v>4</x:v>
      </x:c>
      <x:c r="H26" s="38" t="n">
        <x:f>IF(OR(M18="",N18="",E26=""),"",IF(D26="PF",IF(OR(I18="",I18=0),"",M18/I18*E26),N18*E26))</x:f>
        <x:v>0.001259259259259259</x:v>
      </x:c>
      <x:c r="I26" s="38" t="n">
        <x:f>IF(M18="","",M18)</x:f>
        <x:v>0.0015740740740740739</x:v>
      </x:c>
      <x:c r="J26" s="38" t="n">
        <x:f>IF(OR(M18="",N18="",G26=""),"",IF(D26="PF",IF(OR(I18="",I18=0),"",M18/I18*G26),N18*G26))</x:f>
        <x:v>0.002518518518518518</x:v>
      </x:c>
      <x:c r="K26" s="38" t="n">
        <x:f>IF(N18="","",IF(D26="PF",IF(OR(I18="",I18=0,E26=""),"",N18/I18*E26),N18))</x:f>
        <x:v>0.002185185185185185</x:v>
      </x:c>
      <x:c r="L26" s="38" t="n">
        <x:f>IF(N18="","",N18)</x:f>
        <x:v>0.002731481481481481</x:v>
      </x:c>
      <x:c r="M26" s="38" t="n">
        <x:f>IF(N18="","",IF(D26="PF",IF(OR(I18="",I18=0,G26=""),"",N18/I18*G26),N18))</x:f>
        <x:v>0.00437037037037037</x:v>
      </x:c>
      <x:c r="N26" s="38" t="str">
        <x:f>""</x:f>
      </x:c>
      <x:c r="O26" s="38" t="str">
        <x:f>""</x:f>
      </x:c>
      <x:c r="P26" s="25" t="str">
        <x:f>IF(OR(I26="",L26=""),"","yes")</x:f>
        <x:v>yes</x:v>
      </x:c>
      <x:c r="Q26" s="29" t="str">
        <x:v>Deterministic municipal peaking-factor range used for the case-specific uncertainty check</x:v>
      </x:c>
    </x:row>
    <x:row r="27">
      <x:c r="A27" s="32"/>
      <x:c r="B27" s="32"/>
      <x:c r="C27" s="32"/>
      <x:c r="D27" s="32"/>
      <x:c r="E27" s="32"/>
      <x:c r="F27" s="32"/>
      <x:c r="G27" s="32"/>
      <x:c r="H27" s="32"/>
      <x:c r="I27" s="32"/>
      <x:c r="J27" s="32"/>
      <x:c r="K27" s="32"/>
      <x:c r="L27" s="32"/>
      <x:c r="M27" s="32"/>
      <x:c r="N27" s="32"/>
      <x:c r="O27" s="32"/>
      <x:c r="P27" s="32"/>
      <x:c r="Q27" s="32"/>
    </x:row>
    <x:row r="28">
      <x:c r="A28" s="32"/>
      <x:c r="B28" s="32"/>
      <x:c r="C28" s="32"/>
      <x:c r="D28" s="32"/>
      <x:c r="E28" s="32"/>
      <x:c r="F28" s="32"/>
      <x:c r="G28" s="32"/>
      <x:c r="H28" s="32"/>
      <x:c r="I28" s="32"/>
      <x:c r="J28" s="32"/>
      <x:c r="K28" s="32"/>
      <x:c r="L28" s="32"/>
      <x:c r="M28" s="32"/>
      <x:c r="N28" s="32"/>
      <x:c r="O28" s="32"/>
      <x:c r="P28" s="32"/>
      <x:c r="Q28" s="32"/>
    </x:row>
    <x:row r="29" ht="20" customHeight="1">
      <x:c r="A29" s="12" t="str">
        <x:v>Douglas County reclaimed-source allocation bound</x:v>
      </x:c>
      <x:c r="B29" s="13" t="str">
        <x:v>Douglas County reclaimed-source allocation bound</x:v>
      </x:c>
      <x:c r="C29" s="13" t="str">
        <x:v>Douglas County reclaimed-source allocation bound</x:v>
      </x:c>
      <x:c r="D29" s="13" t="str">
        <x:v>Douglas County reclaimed-source allocation bound</x:v>
      </x:c>
      <x:c r="E29" s="13" t="str">
        <x:v>Douglas County reclaimed-source allocation bound</x:v>
      </x:c>
      <x:c r="F29" s="13" t="str">
        <x:v>Douglas County reclaimed-source allocation bound</x:v>
      </x:c>
      <x:c r="G29" s="13" t="str">
        <x:v>Douglas County reclaimed-source allocation bound</x:v>
      </x:c>
      <x:c r="H29" s="13" t="str">
        <x:v>Douglas County reclaimed-source allocation bound</x:v>
      </x:c>
      <x:c r="I29" s="13" t="str">
        <x:v>Douglas County reclaimed-source allocation bound</x:v>
      </x:c>
      <x:c r="J29" s="13" t="str">
        <x:v>Douglas County reclaimed-source allocation bound</x:v>
      </x:c>
      <x:c r="K29" s="13" t="str">
        <x:v>Douglas County reclaimed-source allocation bound</x:v>
      </x:c>
      <x:c r="L29" s="13" t="str">
        <x:v>Douglas County reclaimed-source allocation bound</x:v>
      </x:c>
      <x:c r="M29" s="13" t="str">
        <x:v>Douglas County reclaimed-source allocation bound</x:v>
      </x:c>
      <x:c r="N29" s="13" t="str">
        <x:v>Douglas County reclaimed-source allocation bound</x:v>
      </x:c>
      <x:c r="O29" s="13" t="str">
        <x:v>Douglas County reclaimed-source allocation bound</x:v>
      </x:c>
      <x:c r="P29" s="13" t="str">
        <x:v>Douglas County reclaimed-source allocation bound</x:v>
      </x:c>
      <x:c r="Q29" s="14" t="str">
        <x:v>Douglas County reclaimed-source allocation bound</x:v>
      </x:c>
    </x:row>
    <x:row r="30">
      <x:c r="A30" s="21" t="str">
        <x:v>Total withdrawal</x:v>
      </x:c>
      <x:c r="B30" s="21" t="str">
        <x:v>Reclaimed withdrawal</x:v>
      </x:c>
      <x:c r="C30" s="21" t="str">
        <x:v>Potable withdrawal</x:v>
      </x:c>
      <x:c r="D30" s="21" t="str">
        <x:v>Total consumption</x:v>
      </x:c>
      <x:c r="E30" s="21" t="str">
        <x:v>Reclaimed C low</x:v>
      </x:c>
      <x:c r="F30" s="21" t="str">
        <x:v>Reclaimed C high</x:v>
      </x:c>
      <x:c r="G30" s="21" t="str">
        <x:v>r low</x:v>
      </x:c>
      <x:c r="H30" s="21" t="str">
        <x:v>r point</x:v>
      </x:c>
      <x:c r="I30" s="21" t="str">
        <x:v>r high</x:v>
      </x:c>
      <x:c r="J30" s="21" t="str">
        <x:v>PF</x:v>
      </x:c>
      <x:c r="K30" s="21" t="str">
        <x:v>K</x:v>
      </x:c>
      <x:c r="L30" s="21" t="str">
        <x:v>WCI low</x:v>
      </x:c>
      <x:c r="M30" s="21" t="str">
        <x:v>WCI point</x:v>
      </x:c>
      <x:c r="N30" s="21" t="str">
        <x:v>WCI high</x:v>
      </x:c>
      <x:c r="O30" s="21" t="str">
        <x:v>PDLR</x:v>
      </x:c>
      <x:c r="P30" s="21" t="str">
        <x:v>Reporting days</x:v>
      </x:c>
      <x:c r="Q30" s="21" t="str">
        <x:v>Interpretation</x:v>
      </x:c>
    </x:row>
    <x:row r="31" ht="48" customHeight="1">
      <x:c r="A31" s="75" t="n">
        <x:v>444.1</x:v>
      </x:c>
      <x:c r="B31" s="75" t="n">
        <x:v>436.7</x:v>
      </x:c>
      <x:c r="C31" s="76" t="n">
        <x:f>IF(OR(A31="",B31=""),"",A31-B31)</x:f>
        <x:v>7.400000000000034</x:v>
      </x:c>
      <x:c r="D31" s="75" t="n">
        <x:v>366.9</x:v>
      </x:c>
      <x:c r="E31" s="76" t="n">
        <x:f>IF(OR(D31="",C31=""),"",MAX(0,D31-C31))</x:f>
        <x:v>359.49999999999994</x:v>
      </x:c>
      <x:c r="F31" s="76" t="n">
        <x:f>IF(OR(D31="",B31=""),"",MIN(D31,B31))</x:f>
        <x:v>366.9</x:v>
      </x:c>
      <x:c r="G31" s="35" t="n">
        <x:f>IF(OR(E31="",B31="",B31=0),"",E31/B31)</x:f>
        <x:v>0.8232196015571329</x:v>
      </x:c>
      <x:c r="H31" s="35" t="n">
        <x:f>IF(OR(D31="",A31="",A31=0),"",D31/A31)</x:f>
        <x:v>0.8261652780905201</x:v>
      </x:c>
      <x:c r="I31" s="35" t="n">
        <x:f>IF(OR(F31="",B31="",B31=0),"",F31/B31)</x:f>
        <x:v>0.8401648729104648</x:v>
      </x:c>
      <x:c r="J31" s="43" t="n">
        <x:v>2.5</x:v>
      </x:c>
      <x:c r="K31" s="43" t="n">
        <x:v>3</x:v>
      </x:c>
      <x:c r="L31" s="37" t="n">
        <x:f>IF(OR(B31="",P31="",P31=0,G31="",J31="",K31="",K31&lt;=0),"",(B31/P31)*G31*J31/K31)</x:f>
        <x:v>0.8185336976320582</x:v>
      </x:c>
      <x:c r="M31" s="37" t="n">
        <x:f>IF(OR(B31="",P31="",P31=0,H31="",J31="",K31="",K31&lt;=0),"",(B31/P31)*H31*J31/K31)</x:f>
        <x:v>0.8214626068809884</x:v>
      </x:c>
      <x:c r="N31" s="37" t="n">
        <x:f>IF(OR(B31="",P31="",P31=0,I31="",J31="",K31="",K31&lt;=0),"",(B31/P31)*I31*J31/K31)</x:f>
        <x:v>0.8353825136612022</x:v>
      </x:c>
      <x:c r="O31" s="37" t="n">
        <x:f>IF(OR(B31="",P31="",P31=0,J31="",K31="",K31&lt;=0),"",(B31/P31)*J31/K31)</x:f>
        <x:v>0.9943078324225865</x:v>
      </x:c>
      <x:c r="P31" s="43" t="n">
        <x:v>366</x:v>
      </x:c>
      <x:c r="Q31" s="28" t="str">
        <x:v>Source-accounting allocation bound conditional on fixed PF and K; not an empirical confidence interval.</x:v>
      </x:c>
    </x:row>
  </x:sheetData>
  <x:mergeCells>
    <x:mergeCell ref="A1:Q1"/>
    <x:mergeCell ref="A2:Q2"/>
    <x:mergeCell ref="A21:Q21"/>
    <x:mergeCell ref="A29:Q29"/>
  </x:mergeCells>
  <x:dataValidations count="13">
    <x:dataValidation type="decimal" operator="between" sqref="E23">
      <x:formula1>1</x:formula1>
      <x:formula2>100</x:formula2>
    </x:dataValidation>
    <x:dataValidation type="decimal" operator="between" sqref="G23">
      <x:formula1>1</x:formula1>
      <x:formula2>100</x:formula2>
    </x:dataValidation>
    <x:dataValidation type="decimal" operator="between" sqref="E24">
      <x:formula1>0</x:formula1>
      <x:formula2>1</x:formula2>
    </x:dataValidation>
    <x:dataValidation type="decimal" operator="between" sqref="G24">
      <x:formula1>0</x:formula1>
      <x:formula2>1</x:formula2>
    </x:dataValidation>
    <x:dataValidation type="decimal" operator="between" sqref="E25">
      <x:formula1>1</x:formula1>
      <x:formula2>100</x:formula2>
    </x:dataValidation>
    <x:dataValidation type="decimal" operator="between" sqref="G25">
      <x:formula1>1</x:formula1>
      <x:formula2>100</x:formula2>
    </x:dataValidation>
    <x:dataValidation type="decimal" operator="between" sqref="E26">
      <x:formula1>1</x:formula1>
      <x:formula2>100</x:formula2>
    </x:dataValidation>
    <x:dataValidation type="decimal" operator="between" sqref="G26">
      <x:formula1>1</x:formula1>
      <x:formula2>100</x:formula2>
    </x:dataValidation>
    <x:dataValidation type="decimal" operator="between" sqref="A31:B31">
      <x:formula1>0</x:formula1>
      <x:formula2>1000000000000</x:formula2>
    </x:dataValidation>
    <x:dataValidation type="decimal" operator="between" sqref="D31">
      <x:formula1>0</x:formula1>
      <x:formula2>1000000000000</x:formula2>
    </x:dataValidation>
    <x:dataValidation type="decimal" operator="between" sqref="J31">
      <x:formula1>1</x:formula1>
      <x:formula2>100</x:formula2>
    </x:dataValidation>
    <x:dataValidation type="decimal" operator="between" sqref="K31">
      <x:formula1>1e-12</x:formula1>
      <x:formula2>1000000000000</x:formula2>
    </x:dataValidation>
    <x:dataValidation type="decimal" operator="between" sqref="P31">
      <x:formula1>1</x:formula1>
      <x:formula2>1000</x:formula2>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 hidden="0" customWidth="1"/>
    <x:col min="2" max="2" width="8" hidden="0" customWidth="1"/>
    <x:col min="3" max="3" width="12" hidden="0" customWidth="1"/>
    <x:col min="4" max="4" width="14" hidden="0" customWidth="1"/>
    <x:col min="5" max="5" width="11" hidden="0" customWidth="1"/>
    <x:col min="6" max="6" width="10" hidden="0" customWidth="1"/>
    <x:col min="7" max="7" width="10" hidden="0" customWidth="1"/>
    <x:col min="8" max="8" width="12" hidden="0" customWidth="1"/>
    <x:col min="9" max="9" width="12" hidden="0" customWidth="1"/>
    <x:col min="10" max="10" width="12" hidden="0" customWidth="1"/>
    <x:col min="11" max="11" width="14" hidden="0" customWidth="1"/>
    <x:col min="12" max="12" width="14" hidden="0" customWidth="1"/>
    <x:col min="13" max="13" width="16" hidden="0" customWidth="1"/>
    <x:col min="14" max="14" width="15" hidden="0" customWidth="1"/>
    <x:col min="15" max="15" width="32" hidden="0" customWidth="1"/>
    <x:col min="16" max="16" width="26" hidden="0" customWidth="1"/>
  </x:cols>
  <x:sheetData>
    <x:row r="1" ht="25" customHeight="1">
      <x:c r="A1" s="3" t="str">
        <x:v>Ten-Case Summary</x:v>
      </x:c>
      <x:c r="B1" s="3"/>
      <x:c r="C1" s="3"/>
      <x:c r="D1" s="3"/>
      <x:c r="E1" s="3"/>
      <x:c r="F1" s="3"/>
      <x:c r="G1" s="3"/>
      <x:c r="H1" s="3"/>
      <x:c r="I1" s="3"/>
      <x:c r="J1" s="3"/>
      <x:c r="K1" s="3"/>
      <x:c r="L1" s="3"/>
      <x:c r="M1" s="3"/>
      <x:c r="N1" s="3"/>
      <x:c r="O1" s="3"/>
      <x:c r="P1" s="3"/>
    </x:row>
    <x:row r="2" ht="21" customHeight="1">
      <x:c r="A2" s="6" t="str">
        <x:v>Current central conditional anchors. Numerical positions are exploratory and are not definitive cross-site risk rankings.</x:v>
      </x:c>
      <x:c r="B2" s="6"/>
      <x:c r="C2" s="6"/>
      <x:c r="D2" s="6"/>
      <x:c r="E2" s="6"/>
      <x:c r="F2" s="6"/>
      <x:c r="G2" s="6"/>
      <x:c r="H2" s="6"/>
      <x:c r="I2" s="6"/>
      <x:c r="J2" s="6"/>
      <x:c r="K2" s="6"/>
      <x:c r="L2" s="6"/>
      <x:c r="M2" s="6"/>
      <x:c r="N2" s="6"/>
      <x:c r="O2" s="6"/>
      <x:c r="P2" s="6"/>
    </x:row>
    <x:row r="3">
      <x:c r="A3" s="32"/>
      <x:c r="B3" s="32"/>
      <x:c r="C3" s="32"/>
      <x:c r="D3" s="32"/>
      <x:c r="E3" s="32"/>
      <x:c r="F3" s="32"/>
      <x:c r="G3" s="32"/>
      <x:c r="H3" s="32"/>
      <x:c r="I3" s="32"/>
      <x:c r="J3" s="32"/>
      <x:c r="K3" s="32"/>
      <x:c r="L3" s="32"/>
      <x:c r="M3" s="32"/>
      <x:c r="N3" s="32"/>
      <x:c r="O3" s="32"/>
      <x:c r="P3" s="32"/>
    </x:row>
    <x:row r="4">
      <x:c r="A4" s="21" t="str">
        <x:v>Site</x:v>
      </x:c>
      <x:c r="B4" s="21" t="str">
        <x:v>State</x:v>
      </x:c>
      <x:c r="C4" s="21" t="str">
        <x:v>Operator</x:v>
      </x:c>
      <x:c r="D4" s="21" t="str">
        <x:v>Flow input (MGD)</x:v>
      </x:c>
      <x:c r="E4" s="21" t="str">
        <x:v>Flow type</x:v>
      </x:c>
      <x:c r="F4" s="21" t="str">
        <x:v>r</x:v>
      </x:c>
      <x:c r="G4" s="21" t="str">
        <x:v>PF</x:v>
      </x:c>
      <x:c r="H4" s="21" t="str">
        <x:v>K (MGD)</x:v>
      </x:c>
      <x:c r="I4" s="21" t="str">
        <x:v>WCI</x:v>
      </x:c>
      <x:c r="J4" s="21" t="str">
        <x:v>PDLR</x:v>
      </x:c>
      <x:c r="K4" s="21" t="str">
        <x:v>WCI numerical position</x:v>
      </x:c>
      <x:c r="L4" s="21" t="str">
        <x:v>PDLR numerical position</x:v>
      </x:c>
      <x:c r="M4" s="21" t="str">
        <x:v>Household equivalent</x:v>
      </x:c>
      <x:c r="N4" s="21" t="str">
        <x:v>Community share</x:v>
      </x:c>
      <x:c r="O4" s="21" t="str">
        <x:v>Boundary / rank status</x:v>
      </x:c>
      <x:c r="P4" s="21" t="str">
        <x:v>Evidence</x:v>
      </x:c>
    </x:row>
    <x:row r="5" ht="36" customHeight="1">
      <x:c r="A5" s="24" t="str">
        <x:f>'1. Inputs &amp; Evidence'!A5</x:f>
        <x:v>Lebanon</x:v>
      </x:c>
      <x:c r="B5" s="24" t="str">
        <x:f>'1. Inputs &amp; Evidence'!B5</x:f>
        <x:v>IN</x:v>
      </x:c>
      <x:c r="C5" s="24" t="str">
        <x:f>'1. Inputs &amp; Evidence'!C5</x:f>
        <x:v>Meta</x:v>
      </x:c>
      <x:c r="D5" s="76" t="n">
        <x:f>IF('1. Inputs &amp; Evidence'!E5="average_flow",IF('1. Inputs &amp; Evidence'!F5="","",'1. Inputs &amp; Evidence'!F5),IF('1. Inputs &amp; Evidence'!H5="","",'1. Inputs &amp; Evidence'!H5))</x:f>
        <x:v>8</x:v>
      </x:c>
      <x:c r="E5" s="76" t="str">
        <x:f>IF('1. Inputs &amp; Evidence'!E5="average_flow","average","peak")</x:f>
        <x:v>peak</x:v>
      </x:c>
      <x:c r="F5" s="76" t="n">
        <x:f>IF('1. Inputs &amp; Evidence'!I5="","",'1. Inputs &amp; Evidence'!I5)</x:f>
        <x:v>0.77</x:v>
      </x:c>
      <x:c r="G5" s="76" t="str">
        <x:f>IF('1. Inputs &amp; Evidence'!J5="","",'1. Inputs &amp; Evidence'!J5)</x:f>
      </x:c>
      <x:c r="H5" s="76" t="n">
        <x:f>IF('1. Inputs &amp; Evidence'!K5="","",'1. Inputs &amp; Evidence'!K5)</x:f>
        <x:v>4.6</x:v>
      </x:c>
      <x:c r="I5" s="37" t="n">
        <x:f>IF('2. WCI &amp; PDLR'!I5="","",'2. WCI &amp; PDLR'!I5)</x:f>
        <x:v>1.3391304347826087</x:v>
      </x:c>
      <x:c r="J5" s="37" t="n">
        <x:f>IF('2. WCI &amp; PDLR'!J5="","",'2. WCI &amp; PDLR'!J5)</x:f>
        <x:v>1.7391304347826089</x:v>
      </x:c>
      <x:c r="K5" s="78" t="n">
        <x:f>IF(I5="","",1+COUNTIF($I$5:$I$14,"&gt;"&amp;I5))</x:f>
        <x:v>1</x:v>
      </x:c>
      <x:c r="L5" s="78" t="n">
        <x:f>IF(J5="","",1+COUNTIF($J$5:$J$14,"&gt;"&amp;J5))</x:f>
        <x:v>1</x:v>
      </x:c>
      <x:c r="M5" s="59" t="str">
        <x:f>IF('3. Community Context'!J5="","",'3. Community Context'!J5)</x:f>
      </x:c>
      <x:c r="N5" s="37" t="str">
        <x:f>IF('3. Community Context'!K5="","",'3. Community Context'!K5)</x:f>
      </x:c>
      <x:c r="O5" s="28" t="str">
        <x:f>'1. Inputs &amp; Evidence'!R5&amp;" / "&amp;'1. Inputs &amp; Evidence'!S5</x:f>
        <x:v>conditional / scenario_only</x:v>
      </x:c>
      <x:c r="P5" s="28" t="str">
        <x:f>'1. Inputs &amp; Evidence'!Q5</x:f>
        <x:v>W_peak:P; r_peak:T; K:M</x:v>
      </x:c>
    </x:row>
    <x:row r="6" ht="36" customHeight="1">
      <x:c r="A6" s="25" t="str">
        <x:f>'1. Inputs &amp; Evidence'!A6</x:f>
        <x:v>Council Bluffs</x:v>
      </x:c>
      <x:c r="B6" s="25" t="str">
        <x:f>'1. Inputs &amp; Evidence'!B6</x:f>
        <x:v>IA</x:v>
      </x:c>
      <x:c r="C6" s="25" t="str">
        <x:f>'1. Inputs &amp; Evidence'!C6</x:f>
        <x:v>Google</x:v>
      </x:c>
      <x:c r="D6" s="77" t="n">
        <x:f>IF('1. Inputs &amp; Evidence'!E6="average_flow",IF('1. Inputs &amp; Evidence'!F6="","",'1. Inputs &amp; Evidence'!F6),IF('1. Inputs &amp; Evidence'!H6="","",'1. Inputs &amp; Evidence'!H6))</x:f>
        <x:v>3.85327868852459</x:v>
      </x:c>
      <x:c r="E6" s="77" t="str">
        <x:f>IF('1. Inputs &amp; Evidence'!E6="average_flow","average","peak")</x:f>
        <x:v>average</x:v>
      </x:c>
      <x:c r="F6" s="77" t="n">
        <x:f>IF('1. Inputs &amp; Evidence'!I6="","",'1. Inputs &amp; Evidence'!I6)</x:f>
        <x:v>0.716301496135574</x:v>
      </x:c>
      <x:c r="G6" s="77" t="n">
        <x:f>IF('1. Inputs &amp; Evidence'!J6="","",'1. Inputs &amp; Evidence'!J6)</x:f>
        <x:v>6.5</x:v>
      </x:c>
      <x:c r="H6" s="77" t="n">
        <x:f>IF('1. Inputs &amp; Evidence'!K6="","",'1. Inputs &amp; Evidence'!K6)</x:f>
        <x:v>30</x:v>
      </x:c>
      <x:c r="I6" s="38" t="n">
        <x:f>IF('2. WCI &amp; PDLR'!I6="","",'2. WCI &amp; PDLR'!I6)</x:f>
        <x:v>0.5980236794171222</x:v>
      </x:c>
      <x:c r="J6" s="38" t="n">
        <x:f>IF('2. WCI &amp; PDLR'!J6="","",'2. WCI &amp; PDLR'!J6)</x:f>
        <x:v>0.8348770491803279</x:v>
      </x:c>
      <x:c r="K6" s="79" t="n">
        <x:f>IF(I6="","",1+COUNTIF($I$5:$I$14,"&gt;"&amp;I6))</x:f>
        <x:v>3</x:v>
      </x:c>
      <x:c r="L6" s="79" t="n">
        <x:f>IF(J6="","",1+COUNTIF($J$5:$J$14,"&gt;"&amp;J6))</x:f>
        <x:v>3</x:v>
      </x:c>
      <x:c r="M6" s="60" t="n">
        <x:f>IF('3. Community Context'!J6="","",'3. Community Context'!J6)</x:f>
        <x:v>9223.4032421618</x:v>
      </x:c>
      <x:c r="N6" s="38" t="n">
        <x:f>IF('3. Community Context'!K6="","",'3. Community Context'!K6)</x:f>
        <x:v>0.5359937162313057</x:v>
      </x:c>
      <x:c r="O6" s="29" t="str">
        <x:f>'1. Inputs &amp; Evidence'!R6&amp;" / "&amp;'1. Inputs &amp; Evidence'!S6</x:f>
        <x:v>conditional / conditional_scenario</x:v>
      </x:c>
      <x:c r="P6" s="29" t="str">
        <x:f>'1. Inputs &amp; Evidence'!Q6</x:f>
        <x:v>W_avg:R; C_avg:R; PF_shared:T; K:R</x:v>
      </x:c>
    </x:row>
    <x:row r="7" ht="36" customHeight="1">
      <x:c r="A7" s="24" t="str">
        <x:f>'1. Inputs &amp; Evidence'!A7</x:f>
        <x:v>Mayes County</x:v>
      </x:c>
      <x:c r="B7" s="24" t="str">
        <x:f>'1. Inputs &amp; Evidence'!B7</x:f>
        <x:v>OK</x:v>
      </x:c>
      <x:c r="C7" s="24" t="str">
        <x:f>'1. Inputs &amp; Evidence'!C7</x:f>
        <x:v>Google</x:v>
      </x:c>
      <x:c r="D7" s="76" t="n">
        <x:f>IF('1. Inputs &amp; Evidence'!E7="average_flow",IF('1. Inputs &amp; Evidence'!F7="","",'1. Inputs &amp; Evidence'!F7),IF('1. Inputs &amp; Evidence'!H7="","",'1. Inputs &amp; Evidence'!H7))</x:f>
        <x:v>3.028142076502732</x:v>
      </x:c>
      <x:c r="E7" s="76" t="str">
        <x:f>IF('1. Inputs &amp; Evidence'!E7="average_flow","average","peak")</x:f>
        <x:v>average</x:v>
      </x:c>
      <x:c r="F7" s="76" t="n">
        <x:f>IF('1. Inputs &amp; Evidence'!I7="","",'1. Inputs &amp; Evidence'!I7)</x:f>
        <x:v>0.7517820084814583</x:v>
      </x:c>
      <x:c r="G7" s="76" t="n">
        <x:f>IF('1. Inputs &amp; Evidence'!J7="","",'1. Inputs &amp; Evidence'!J7)</x:f>
        <x:v>2.5</x:v>
      </x:c>
      <x:c r="H7" s="76" t="n">
        <x:f>IF('1. Inputs &amp; Evidence'!K7="","",'1. Inputs &amp; Evidence'!K7)</x:f>
        <x:v>50</x:v>
      </x:c>
      <x:c r="I7" s="37" t="n">
        <x:f>IF('2. WCI &amp; PDLR'!I7="","",'2. WCI &amp; PDLR'!I7)</x:f>
        <x:v>0.11382513661202187</x:v>
      </x:c>
      <x:c r="J7" s="37" t="n">
        <x:f>IF('2. WCI &amp; PDLR'!J7="","",'2. WCI &amp; PDLR'!J7)</x:f>
        <x:v>0.1514071038251366</x:v>
      </x:c>
      <x:c r="K7" s="78" t="n">
        <x:f>IF(I7="","",1+COUNTIF($I$5:$I$14,"&gt;"&amp;I7))</x:f>
        <x:v>5</x:v>
      </x:c>
      <x:c r="L7" s="78" t="n">
        <x:f>IF(J7="","",1+COUNTIF($J$5:$J$14,"&gt;"&amp;J7))</x:f>
        <x:v>5</x:v>
      </x:c>
      <x:c r="M7" s="59" t="n">
        <x:f>IF('3. Community Context'!J7="","",'3. Community Context'!J7)</x:f>
        <x:v>7607.344665769883</x:v>
      </x:c>
      <x:c r="N7" s="37" t="n">
        <x:f>IF('3. Community Context'!K7="","",'3. Community Context'!K7)</x:f>
        <x:v>0.7110133801657332</x:v>
      </x:c>
      <x:c r="O7" s="28" t="str">
        <x:f>'1. Inputs &amp; Evidence'!R7&amp;" / "&amp;'1. Inputs &amp; Evidence'!S7</x:f>
        <x:v>conditional / conditional_scenario</x:v>
      </x:c>
      <x:c r="P7" s="28" t="str">
        <x:f>'1. Inputs &amp; Evidence'!Q7</x:f>
        <x:v>W_avg:R; C_avg:R; PF_shared:A; K:M</x:v>
      </x:c>
    </x:row>
    <x:row r="8" ht="36" customHeight="1">
      <x:c r="A8" s="25" t="str">
        <x:f>'1. Inputs &amp; Evidence'!A8</x:f>
        <x:v>The Dalles</x:v>
      </x:c>
      <x:c r="B8" s="25" t="str">
        <x:f>'1. Inputs &amp; Evidence'!B8</x:f>
        <x:v>OR</x:v>
      </x:c>
      <x:c r="C8" s="25" t="str">
        <x:f>'1. Inputs &amp; Evidence'!C8</x:f>
        <x:v>Google</x:v>
      </x:c>
      <x:c r="D8" s="77" t="n">
        <x:f>IF('1. Inputs &amp; Evidence'!E8="average_flow",IF('1. Inputs &amp; Evidence'!F8="","",'1. Inputs &amp; Evidence'!F8),IF('1. Inputs &amp; Evidence'!H8="","",'1. Inputs &amp; Evidence'!H8))</x:f>
        <x:v>1.2598360655737706</x:v>
      </x:c>
      <x:c r="E8" s="77" t="str">
        <x:f>IF('1. Inputs &amp; Evidence'!E8="average_flow","average","peak")</x:f>
        <x:v>average</x:v>
      </x:c>
      <x:c r="F8" s="77" t="n">
        <x:f>IF('1. Inputs &amp; Evidence'!I8="","",'1. Inputs &amp; Evidence'!I8)</x:f>
        <x:v>0.7837779223595748</x:v>
      </x:c>
      <x:c r="G8" s="77" t="n">
        <x:f>IF('1. Inputs &amp; Evidence'!J8="","",'1. Inputs &amp; Evidence'!J8)</x:f>
        <x:v>2.21</x:v>
      </x:c>
      <x:c r="H8" s="77" t="n">
        <x:f>IF('1. Inputs &amp; Evidence'!K8="","",'1. Inputs &amp; Evidence'!K8)</x:f>
        <x:v>8.7</x:v>
      </x:c>
      <x:c r="I8" s="38" t="n">
        <x:f>IF('2. WCI &amp; PDLR'!I8="","",'2. WCI &amp; PDLR'!I8)</x:f>
        <x:v>0.25083034985239616</x:v>
      </x:c>
      <x:c r="J8" s="38" t="n">
        <x:f>IF('2. WCI &amp; PDLR'!J8="","",'2. WCI &amp; PDLR'!J8)</x:f>
        <x:v>0.32002732240437165</x:v>
      </x:c>
      <x:c r="K8" s="79" t="n">
        <x:f>IF(I8="","",1+COUNTIF($I$5:$I$14,"&gt;"&amp;I8))</x:f>
        <x:v>4</x:v>
      </x:c>
      <x:c r="L8" s="79" t="n">
        <x:f>IF(J8="","",1+COUNTIF($J$5:$J$14,"&gt;"&amp;J8))</x:f>
        <x:v>4</x:v>
      </x:c>
      <x:c r="M8" s="60" t="n">
        <x:f>IF('3. Community Context'!J8="","",'3. Community Context'!J8)</x:f>
        <x:v>3299.681183640862</x:v>
      </x:c>
      <x:c r="N8" s="38" t="n">
        <x:f>IF('3. Community Context'!K8="","",'3. Community Context'!K8)</x:f>
        <x:v>0.7521455294625311</x:v>
      </x:c>
      <x:c r="O8" s="29" t="str">
        <x:f>'1. Inputs &amp; Evidence'!R8&amp;" / "&amp;'1. Inputs &amp; Evidence'!S8</x:f>
        <x:v>conditional / conditional_scenario</x:v>
      </x:c>
      <x:c r="P8" s="29" t="str">
        <x:f>'1. Inputs &amp; Evidence'!Q8</x:f>
        <x:v>W_avg:R; C_avg:R; PF_shared:R; K:M</x:v>
      </x:c>
    </x:row>
    <x:row r="9" ht="36" customHeight="1">
      <x:c r="A9" s="24" t="str">
        <x:f>'1. Inputs &amp; Evidence'!A9</x:f>
        <x:v>Douglas County</x:v>
      </x:c>
      <x:c r="B9" s="24" t="str">
        <x:f>'1. Inputs &amp; Evidence'!B9</x:f>
        <x:v>GA</x:v>
      </x:c>
      <x:c r="C9" s="24" t="str">
        <x:f>'1. Inputs &amp; Evidence'!C9</x:f>
        <x:v>Google</x:v>
      </x:c>
      <x:c r="D9" s="76" t="n">
        <x:f>IF('1. Inputs &amp; Evidence'!E9="average_flow",IF('1. Inputs &amp; Evidence'!F9="","",'1. Inputs &amp; Evidence'!F9),IF('1. Inputs &amp; Evidence'!H9="","",'1. Inputs &amp; Evidence'!H9))</x:f>
        <x:v>1.1931693989071037</x:v>
      </x:c>
      <x:c r="E9" s="76" t="str">
        <x:f>IF('1. Inputs &amp; Evidence'!E9="average_flow","average","peak")</x:f>
        <x:v>average</x:v>
      </x:c>
      <x:c r="F9" s="76" t="n">
        <x:f>IF('1. Inputs &amp; Evidence'!I9="","",'1. Inputs &amp; Evidence'!I9)</x:f>
        <x:v>0.8261652780905201</x:v>
      </x:c>
      <x:c r="G9" s="76" t="n">
        <x:f>IF('1. Inputs &amp; Evidence'!J9="","",'1. Inputs &amp; Evidence'!J9)</x:f>
        <x:v>2.5</x:v>
      </x:c>
      <x:c r="H9" s="76" t="n">
        <x:f>IF('1. Inputs &amp; Evidence'!K9="","",'1. Inputs &amp; Evidence'!K9)</x:f>
        <x:v>3</x:v>
      </x:c>
      <x:c r="I9" s="37" t="n">
        <x:f>IF('2. WCI &amp; PDLR'!I9="","",'2. WCI &amp; PDLR'!I9)</x:f>
        <x:v>0.8214626068809884</x:v>
      </x:c>
      <x:c r="J9" s="37" t="n">
        <x:f>IF('2. WCI &amp; PDLR'!J9="","",'2. WCI &amp; PDLR'!J9)</x:f>
        <x:v>0.9943078324225865</x:v>
      </x:c>
      <x:c r="K9" s="78" t="n">
        <x:f>IF(I9="","",1+COUNTIF($I$5:$I$14,"&gt;"&amp;I9))</x:f>
        <x:v>2</x:v>
      </x:c>
      <x:c r="L9" s="78" t="n">
        <x:f>IF(J9="","",1+COUNTIF($J$5:$J$14,"&gt;"&amp;J9))</x:f>
        <x:v>2</x:v>
      </x:c>
      <x:c r="M9" s="59" t="n">
        <x:f>IF('3. Community Context'!J9="","",'3. Community Context'!J9)</x:f>
        <x:v>3349.8976930651957</x:v>
      </x:c>
      <x:c r="N9" s="37" t="n">
        <x:f>IF('3. Community Context'!K9="","",'3. Community Context'!K9)</x:f>
        <x:v>0.08475710085467397</x:v>
      </x:c>
      <x:c r="O9" s="28" t="str">
        <x:f>'1. Inputs &amp; Evidence'!R9&amp;" / "&amp;'1. Inputs &amp; Evidence'!S9</x:f>
        <x:v>conditional / conditional_scenario</x:v>
      </x:c>
      <x:c r="P9" s="28" t="str">
        <x:f>'1. Inputs &amp; Evidence'!Q9</x:f>
        <x:v>W_avg:R; r_avg:T; PF_shared:A; K:M</x:v>
      </x:c>
    </x:row>
    <x:row r="10" ht="36" customHeight="1">
      <x:c r="A10" s="25" t="str">
        <x:f>'1. Inputs &amp; Evidence'!A10</x:f>
        <x:v>Wisconsin site</x:v>
      </x:c>
      <x:c r="B10" s="25" t="str">
        <x:f>'1. Inputs &amp; Evidence'!B10</x:f>
        <x:v>WI</x:v>
      </x:c>
      <x:c r="C10" s="25" t="str">
        <x:f>'1. Inputs &amp; Evidence'!C10</x:f>
        <x:v>Microsoft</x:v>
      </x:c>
      <x:c r="D10" s="77" t="n">
        <x:f>IF('1. Inputs &amp; Evidence'!E10="average_flow",IF('1. Inputs &amp; Evidence'!F10="","",'1. Inputs &amp; Evidence'!F10),IF('1. Inputs &amp; Evidence'!H10="","",'1. Inputs &amp; Evidence'!H10))</x:f>
        <x:v>0.702</x:v>
      </x:c>
      <x:c r="E10" s="77" t="str">
        <x:f>IF('1. Inputs &amp; Evidence'!E10="average_flow","average","peak")</x:f>
        <x:v>peak</x:v>
      </x:c>
      <x:c r="F10" s="77" t="n">
        <x:f>IF('1. Inputs &amp; Evidence'!I10="","",'1. Inputs &amp; Evidence'!I10)</x:f>
        <x:v>0.77</x:v>
      </x:c>
      <x:c r="G10" s="77" t="str">
        <x:f>IF('1. Inputs &amp; Evidence'!J10="","",'1. Inputs &amp; Evidence'!J10)</x:f>
      </x:c>
      <x:c r="H10" s="77" t="n">
        <x:f>IF('1. Inputs &amp; Evidence'!K10="","",'1. Inputs &amp; Evidence'!K10)</x:f>
        <x:v>40</x:v>
      </x:c>
      <x:c r="I10" s="38" t="n">
        <x:f>IF('2. WCI &amp; PDLR'!I10="","",'2. WCI &amp; PDLR'!I10)</x:f>
        <x:v>0.013513500000000001</x:v>
      </x:c>
      <x:c r="J10" s="38" t="n">
        <x:f>IF('2. WCI &amp; PDLR'!J10="","",'2. WCI &amp; PDLR'!J10)</x:f>
        <x:v>0.01755</x:v>
      </x:c>
      <x:c r="K10" s="79" t="n">
        <x:f>IF(I10="","",1+COUNTIF($I$5:$I$14,"&gt;"&amp;I10))</x:f>
        <x:v>9</x:v>
      </x:c>
      <x:c r="L10" s="79" t="n">
        <x:f>IF(J10="","",1+COUNTIF($J$5:$J$14,"&gt;"&amp;J10))</x:f>
        <x:v>9</x:v>
      </x:c>
      <x:c r="M10" s="60" t="str">
        <x:f>IF('3. Community Context'!J10="","",'3. Community Context'!J10)</x:f>
      </x:c>
      <x:c r="N10" s="38" t="str">
        <x:f>IF('3. Community Context'!K10="","",'3. Community Context'!K10)</x:f>
      </x:c>
      <x:c r="O10" s="29" t="str">
        <x:f>'1. Inputs &amp; Evidence'!R10&amp;" / "&amp;'1. Inputs &amp; Evidence'!S10</x:f>
        <x:v>conditional / conditional_confirmation_pending</x:v>
      </x:c>
      <x:c r="P10" s="29" t="str">
        <x:f>'1. Inputs &amp; Evidence'!Q10</x:f>
        <x:v>W_avg:R; W_peak:P; r_peak:T; K:M</x:v>
      </x:c>
    </x:row>
    <x:row r="11" ht="36" customHeight="1">
      <x:c r="A11" s="24" t="str">
        <x:f>'1. Inputs &amp; Evidence'!A11</x:f>
        <x:v>Botetourt County</x:v>
      </x:c>
      <x:c r="B11" s="24" t="str">
        <x:f>'1. Inputs &amp; Evidence'!B11</x:f>
        <x:v>VA</x:v>
      </x:c>
      <x:c r="C11" s="24" t="str">
        <x:f>'1. Inputs &amp; Evidence'!C11</x:f>
        <x:v>Google</x:v>
      </x:c>
      <x:c r="D11" s="76" t="n">
        <x:f>IF('1. Inputs &amp; Evidence'!E11="average_flow",IF('1. Inputs &amp; Evidence'!F11="","",'1. Inputs &amp; Evidence'!F11),IF('1. Inputs &amp; Evidence'!H11="","",'1. Inputs &amp; Evidence'!H11))</x:f>
        <x:v>2</x:v>
      </x:c>
      <x:c r="E11" s="76" t="str">
        <x:f>IF('1. Inputs &amp; Evidence'!E11="average_flow","average","peak")</x:f>
        <x:v>peak</x:v>
      </x:c>
      <x:c r="F11" s="76" t="n">
        <x:f>IF('1. Inputs &amp; Evidence'!I11="","",'1. Inputs &amp; Evidence'!I11)</x:f>
        <x:v>0.77</x:v>
      </x:c>
      <x:c r="G11" s="76" t="str">
        <x:f>IF('1. Inputs &amp; Evidence'!J11="","",'1. Inputs &amp; Evidence'!J11)</x:f>
      </x:c>
      <x:c r="H11" s="76" t="n">
        <x:f>IF('1. Inputs &amp; Evidence'!K11="","",'1. Inputs &amp; Evidence'!K11)</x:f>
        <x:v>24</x:v>
      </x:c>
      <x:c r="I11" s="37" t="n">
        <x:f>IF('2. WCI &amp; PDLR'!I11="","",'2. WCI &amp; PDLR'!I11)</x:f>
        <x:v>0.06416666666666666</x:v>
      </x:c>
      <x:c r="J11" s="37" t="n">
        <x:f>IF('2. WCI &amp; PDLR'!J11="","",'2. WCI &amp; PDLR'!J11)</x:f>
        <x:v>0.08333333333333333</x:v>
      </x:c>
      <x:c r="K11" s="78" t="n">
        <x:f>IF(I11="","",1+COUNTIF($I$5:$I$14,"&gt;"&amp;I11))</x:f>
        <x:v>6</x:v>
      </x:c>
      <x:c r="L11" s="78" t="n">
        <x:f>IF(J11="","",1+COUNTIF($J$5:$J$14,"&gt;"&amp;J11))</x:f>
        <x:v>6</x:v>
      </x:c>
      <x:c r="M11" s="59" t="str">
        <x:f>IF('3. Community Context'!J11="","",'3. Community Context'!J11)</x:f>
      </x:c>
      <x:c r="N11" s="37" t="str">
        <x:f>IF('3. Community Context'!K11="","",'3. Community Context'!K11)</x:f>
      </x:c>
      <x:c r="O11" s="28" t="str">
        <x:f>'1. Inputs &amp; Evidence'!R11&amp;" / "&amp;'1. Inputs &amp; Evidence'!S11</x:f>
        <x:v>conditional / scenario_only</x:v>
      </x:c>
      <x:c r="P11" s="28" t="str">
        <x:f>'1. Inputs &amp; Evidence'!Q11</x:f>
        <x:v>W_peak:P; r_peak:T; K:M</x:v>
      </x:c>
    </x:row>
    <x:row r="12" ht="36" customHeight="1">
      <x:c r="A12" s="25" t="str">
        <x:f>'1. Inputs &amp; Evidence'!A12</x:f>
        <x:v>Memphis</x:v>
      </x:c>
      <x:c r="B12" s="25" t="str">
        <x:f>'1. Inputs &amp; Evidence'!B12</x:f>
        <x:v>TN</x:v>
      </x:c>
      <x:c r="C12" s="25" t="str">
        <x:f>'1. Inputs &amp; Evidence'!C12</x:f>
        <x:v>xAI</x:v>
      </x:c>
      <x:c r="D12" s="77" t="n">
        <x:f>IF('1. Inputs &amp; Evidence'!E12="average_flow",IF('1. Inputs &amp; Evidence'!F12="","",'1. Inputs &amp; Evidence'!F12),IF('1. Inputs &amp; Evidence'!H12="","",'1. Inputs &amp; Evidence'!H12))</x:f>
        <x:v>1</x:v>
      </x:c>
      <x:c r="E12" s="77" t="str">
        <x:f>IF('1. Inputs &amp; Evidence'!E12="average_flow","average","peak")</x:f>
        <x:v>peak</x:v>
      </x:c>
      <x:c r="F12" s="77" t="n">
        <x:f>IF('1. Inputs &amp; Evidence'!I12="","",'1. Inputs &amp; Evidence'!I12)</x:f>
        <x:v>0.77</x:v>
      </x:c>
      <x:c r="G12" s="77" t="str">
        <x:f>IF('1. Inputs &amp; Evidence'!J12="","",'1. Inputs &amp; Evidence'!J12)</x:f>
      </x:c>
      <x:c r="H12" s="77" t="n">
        <x:f>IF('1. Inputs &amp; Evidence'!K12="","",'1. Inputs &amp; Evidence'!K12)</x:f>
        <x:v>30</x:v>
      </x:c>
      <x:c r="I12" s="38" t="n">
        <x:f>IF('2. WCI &amp; PDLR'!I12="","",'2. WCI &amp; PDLR'!I12)</x:f>
        <x:v>0.025666666666666667</x:v>
      </x:c>
      <x:c r="J12" s="38" t="n">
        <x:f>IF('2. WCI &amp; PDLR'!J12="","",'2. WCI &amp; PDLR'!J12)</x:f>
        <x:v>0.03333333333333333</x:v>
      </x:c>
      <x:c r="K12" s="79" t="n">
        <x:f>IF(I12="","",1+COUNTIF($I$5:$I$14,"&gt;"&amp;I12))</x:f>
        <x:v>8</x:v>
      </x:c>
      <x:c r="L12" s="79" t="n">
        <x:f>IF(J12="","",1+COUNTIF($J$5:$J$14,"&gt;"&amp;J12))</x:f>
        <x:v>8</x:v>
      </x:c>
      <x:c r="M12" s="60" t="str">
        <x:f>IF('3. Community Context'!J13="","",'3. Community Context'!J13)</x:f>
      </x:c>
      <x:c r="N12" s="38" t="str">
        <x:f>IF('3. Community Context'!K13="","",'3. Community Context'!K13)</x:f>
      </x:c>
      <x:c r="O12" s="29" t="str">
        <x:f>'1. Inputs &amp; Evidence'!R12&amp;" / "&amp;'1. Inputs &amp; Evidence'!S12</x:f>
        <x:v>conditional / scenario_only</x:v>
      </x:c>
      <x:c r="P12" s="29" t="str">
        <x:f>'1. Inputs &amp; Evidence'!Q12</x:f>
        <x:v>W_peak:P; r_peak:T; K:M</x:v>
      </x:c>
    </x:row>
    <x:row r="13" ht="36" customHeight="1">
      <x:c r="A13" s="24" t="str">
        <x:f>'1. Inputs &amp; Evidence'!A13</x:f>
        <x:v>Midlothian</x:v>
      </x:c>
      <x:c r="B13" s="24" t="str">
        <x:f>'1. Inputs &amp; Evidence'!B13</x:f>
        <x:v>TX</x:v>
      </x:c>
      <x:c r="C13" s="24" t="str">
        <x:f>'1. Inputs &amp; Evidence'!C13</x:f>
        <x:v>Google</x:v>
      </x:c>
      <x:c r="D13" s="76" t="n">
        <x:f>IF('1. Inputs &amp; Evidence'!E13="average_flow",IF('1. Inputs &amp; Evidence'!F13="","",'1. Inputs &amp; Evidence'!F13),IF('1. Inputs &amp; Evidence'!H13="","",'1. Inputs &amp; Evidence'!H13))</x:f>
        <x:v>0.6038251366120219</x:v>
      </x:c>
      <x:c r="E13" s="76" t="str">
        <x:f>IF('1. Inputs &amp; Evidence'!E13="average_flow","average","peak")</x:f>
        <x:v>average</x:v>
      </x:c>
      <x:c r="F13" s="76" t="n">
        <x:f>IF('1. Inputs &amp; Evidence'!I13="","",'1. Inputs &amp; Evidence'!I13)</x:f>
        <x:v>0.8248868778280544</x:v>
      </x:c>
      <x:c r="G13" s="76" t="n">
        <x:f>IF('1. Inputs &amp; Evidence'!J13="","",'1. Inputs &amp; Evidence'!J13)</x:f>
        <x:v>2.5</x:v>
      </x:c>
      <x:c r="H13" s="76" t="n">
        <x:f>IF('1. Inputs &amp; Evidence'!K13="","",'1. Inputs &amp; Evidence'!K13)</x:f>
        <x:v>36</x:v>
      </x:c>
      <x:c r="I13" s="37" t="n">
        <x:f>IF('2. WCI &amp; PDLR'!I13="","",'2. WCI &amp; PDLR'!I13)</x:f>
        <x:v>0.034589404978749246</x:v>
      </x:c>
      <x:c r="J13" s="37" t="n">
        <x:f>IF('2. WCI &amp; PDLR'!J13="","",'2. WCI &amp; PDLR'!J13)</x:f>
        <x:v>0.04193230115361263</x:v>
      </x:c>
      <x:c r="K13" s="78" t="n">
        <x:f>IF(I13="","",1+COUNTIF($I$5:$I$14,"&gt;"&amp;I13))</x:f>
        <x:v>7</x:v>
      </x:c>
      <x:c r="L13" s="78" t="n">
        <x:f>IF(J13="","",1+COUNTIF($J$5:$J$14,"&gt;"&amp;J13))</x:f>
        <x:v>7</x:v>
      </x:c>
      <x:c r="M13" s="59" t="n">
        <x:f>IF('3. Community Context'!J12="","",'3. Community Context'!J12)</x:f>
        <x:v>1664.4490309291245</x:v>
      </x:c>
      <x:c r="N13" s="37" t="n">
        <x:f>IF('3. Community Context'!K12="","",'3. Community Context'!K12)</x:f>
        <x:v>0.17293201343425052</x:v>
      </x:c>
      <x:c r="O13" s="28" t="str">
        <x:f>'1. Inputs &amp; Evidence'!R13&amp;" / "&amp;'1. Inputs &amp; Evidence'!S13</x:f>
        <x:v>conditional / conditional_scenario</x:v>
      </x:c>
      <x:c r="P13" s="28" t="str">
        <x:f>'1. Inputs &amp; Evidence'!Q13</x:f>
        <x:v>W_avg:R; C_avg:R; PF_shared:A; K:M</x:v>
      </x:c>
    </x:row>
    <x:row r="14" ht="36" customHeight="1">
      <x:c r="A14" s="25" t="str">
        <x:f>'1. Inputs &amp; Evidence'!A14</x:f>
        <x:v>Henderson</x:v>
      </x:c>
      <x:c r="B14" s="25" t="str">
        <x:f>'1. Inputs &amp; Evidence'!B14</x:f>
        <x:v>NV</x:v>
      </x:c>
      <x:c r="C14" s="25" t="str">
        <x:f>'1. Inputs &amp; Evidence'!C14</x:f>
        <x:v>Google</x:v>
      </x:c>
      <x:c r="D14" s="77" t="n">
        <x:f>IF('1. Inputs &amp; Evidence'!E14="average_flow",IF('1. Inputs &amp; Evidence'!F14="","",'1. Inputs &amp; Evidence'!F14),IF('1. Inputs &amp; Evidence'!H14="","",'1. Inputs &amp; Evidence'!H14))</x:f>
        <x:v>0.9833333333333333</x:v>
      </x:c>
      <x:c r="E14" s="77" t="str">
        <x:f>IF('1. Inputs &amp; Evidence'!E14="average_flow","average","peak")</x:f>
        <x:v>average</x:v>
      </x:c>
      <x:c r="F14" s="77" t="n">
        <x:f>IF('1. Inputs &amp; Evidence'!I14="","",'1. Inputs &amp; Evidence'!I14)</x:f>
        <x:v>0.576271186440678</x:v>
      </x:c>
      <x:c r="G14" s="77" t="n">
        <x:f>IF('1. Inputs &amp; Evidence'!J14="","",'1. Inputs &amp; Evidence'!J14)</x:f>
        <x:v>2.5</x:v>
      </x:c>
      <x:c r="H14" s="77" t="n">
        <x:f>IF('1. Inputs &amp; Evidence'!K14="","",'1. Inputs &amp; Evidence'!K14)</x:f>
        <x:v>900</x:v>
      </x:c>
      <x:c r="I14" s="38" t="n">
        <x:f>IF('2. WCI &amp; PDLR'!I14="","",'2. WCI &amp; PDLR'!I14)</x:f>
        <x:v>0.0015740740740740739</x:v>
      </x:c>
      <x:c r="J14" s="38" t="n">
        <x:f>IF('2. WCI &amp; PDLR'!J14="","",'2. WCI &amp; PDLR'!J14)</x:f>
        <x:v>0.002731481481481481</x:v>
      </x:c>
      <x:c r="K14" s="79" t="n">
        <x:f>IF(I14="","",1+COUNTIF($I$5:$I$14,"&gt;"&amp;I14))</x:f>
        <x:v>10</x:v>
      </x:c>
      <x:c r="L14" s="79" t="n">
        <x:f>IF(J14="","",1+COUNTIF($J$5:$J$14,"&gt;"&amp;J14))</x:f>
        <x:v>10</x:v>
      </x:c>
      <x:c r="M14" s="60" t="n">
        <x:f>IF('3. Community Context'!J14="","",'3. Community Context'!J14)</x:f>
        <x:v>1893.6189194453978</x:v>
      </x:c>
      <x:c r="N14" s="38" t="n">
        <x:f>IF('3. Community Context'!K14="","",'3. Community Context'!K14)</x:f>
        <x:v>0.021758033770017077</x:v>
      </x:c>
      <x:c r="O14" s="29" t="str">
        <x:f>'1. Inputs &amp; Evidence'!R14&amp;" / "&amp;'1. Inputs &amp; Evidence'!S14</x:f>
        <x:v>regional / regional_scenario_only</x:v>
      </x:c>
      <x:c r="P14" s="29" t="str">
        <x:f>'1. Inputs &amp; Evidence'!Q14</x:f>
        <x:v>W_avg:R; C_avg:R; PF_shared:A; K:M</x:v>
      </x:c>
    </x:row>
    <x:row r="15">
      <x:c r="A15" s="32"/>
      <x:c r="B15" s="32"/>
      <x:c r="C15" s="32"/>
      <x:c r="D15" s="32"/>
      <x:c r="E15" s="32"/>
      <x:c r="F15" s="32"/>
      <x:c r="G15" s="32"/>
      <x:c r="H15" s="32"/>
      <x:c r="I15" s="32"/>
      <x:c r="J15" s="32"/>
      <x:c r="K15" s="32"/>
      <x:c r="L15" s="32"/>
      <x:c r="M15" s="32"/>
      <x:c r="N15" s="32"/>
      <x:c r="O15" s="32"/>
      <x:c r="P15" s="32"/>
    </x:row>
    <x:row r="16">
      <x:c r="A16" s="32"/>
      <x:c r="B16" s="32"/>
      <x:c r="C16" s="32"/>
      <x:c r="D16" s="32"/>
      <x:c r="E16" s="32"/>
      <x:c r="F16" s="32"/>
      <x:c r="G16" s="32"/>
      <x:c r="H16" s="32"/>
      <x:c r="I16" s="32"/>
      <x:c r="J16" s="32"/>
      <x:c r="K16" s="32"/>
      <x:c r="L16" s="32"/>
      <x:c r="M16" s="32"/>
      <x:c r="N16" s="32"/>
      <x:c r="O16" s="32"/>
      <x:c r="P16" s="32"/>
    </x:row>
    <x:row r="17" ht="20" customHeight="1">
      <x:c r="A17" s="12" t="str">
        <x:v>Reading the summary</x:v>
      </x:c>
      <x:c r="B17" s="13" t="str">
        <x:v>Reading the summary</x:v>
      </x:c>
      <x:c r="C17" s="13" t="str">
        <x:v>Reading the summary</x:v>
      </x:c>
      <x:c r="D17" s="13" t="str">
        <x:v>Reading the summary</x:v>
      </x:c>
      <x:c r="E17" s="13" t="str">
        <x:v>Reading the summary</x:v>
      </x:c>
      <x:c r="F17" s="13" t="str">
        <x:v>Reading the summary</x:v>
      </x:c>
      <x:c r="G17" s="13" t="str">
        <x:v>Reading the summary</x:v>
      </x:c>
      <x:c r="H17" s="13" t="str">
        <x:v>Reading the summary</x:v>
      </x:c>
      <x:c r="I17" s="13" t="str">
        <x:v>Reading the summary</x:v>
      </x:c>
      <x:c r="J17" s="13" t="str">
        <x:v>Reading the summary</x:v>
      </x:c>
      <x:c r="K17" s="13" t="str">
        <x:v>Reading the summary</x:v>
      </x:c>
      <x:c r="L17" s="13" t="str">
        <x:v>Reading the summary</x:v>
      </x:c>
      <x:c r="M17" s="13" t="str">
        <x:v>Reading the summary</x:v>
      </x:c>
      <x:c r="N17" s="13" t="str">
        <x:v>Reading the summary</x:v>
      </x:c>
      <x:c r="O17" s="13" t="str">
        <x:v>Reading the summary</x:v>
      </x:c>
      <x:c r="P17" s="14" t="str">
        <x:v>Reading the summary</x:v>
      </x:c>
    </x:row>
    <x:row r="18">
      <x:c r="A18" s="33" t="str">
        <x:v>The flow input column reports W_avg for average-flow branches and the directly reported W_peak for direct-peak branches. A blank PF therefore identifies a direct peak, not a missing peaking factor. The two numerical-position columns simply order the current calculated values; they must be interpreted with the boundary and evidence columns.</x:v>
      </x:c>
      <x:c r="B18" s="33"/>
      <x:c r="C18" s="33"/>
      <x:c r="D18" s="33"/>
      <x:c r="E18" s="33"/>
      <x:c r="F18" s="33"/>
      <x:c r="G18" s="33"/>
      <x:c r="H18" s="33"/>
      <x:c r="I18" s="33"/>
      <x:c r="J18" s="33"/>
      <x:c r="K18" s="33"/>
      <x:c r="L18" s="33"/>
      <x:c r="M18" s="33"/>
      <x:c r="N18" s="33"/>
      <x:c r="O18" s="33"/>
      <x:c r="P18" s="33"/>
    </x:row>
    <x:row r="19">
      <x:c r="A19" s="33"/>
      <x:c r="B19" s="33"/>
      <x:c r="C19" s="33"/>
      <x:c r="D19" s="33"/>
      <x:c r="E19" s="33"/>
      <x:c r="F19" s="33"/>
      <x:c r="G19" s="33"/>
      <x:c r="H19" s="33"/>
      <x:c r="I19" s="33"/>
      <x:c r="J19" s="33"/>
      <x:c r="K19" s="33"/>
      <x:c r="L19" s="33"/>
      <x:c r="M19" s="33"/>
      <x:c r="N19" s="33"/>
      <x:c r="O19" s="33"/>
      <x:c r="P19" s="33"/>
    </x:row>
    <x:row r="20">
      <x:c r="A20" s="33"/>
      <x:c r="B20" s="33"/>
      <x:c r="C20" s="33"/>
      <x:c r="D20" s="33"/>
      <x:c r="E20" s="33"/>
      <x:c r="F20" s="33"/>
      <x:c r="G20" s="33"/>
      <x:c r="H20" s="33"/>
      <x:c r="I20" s="33"/>
      <x:c r="J20" s="33"/>
      <x:c r="K20" s="33"/>
      <x:c r="L20" s="33"/>
      <x:c r="M20" s="33"/>
      <x:c r="N20" s="33"/>
      <x:c r="O20" s="33"/>
      <x:c r="P20" s="33"/>
    </x:row>
  </x:sheetData>
  <x:mergeCells>
    <x:mergeCell ref="A1:P1"/>
    <x:mergeCell ref="A2:P2"/>
    <x:mergeCell ref="A17:P17"/>
    <x:mergeCell ref="A18:P20"/>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1" hidden="0" customWidth="1"/>
    <x:col min="2" max="2" width="17" hidden="0" customWidth="1"/>
    <x:col min="3" max="3" width="17" hidden="0" customWidth="1"/>
    <x:col min="4" max="4" width="17" hidden="0" customWidth="1"/>
    <x:col min="5" max="5" width="22" hidden="0" customWidth="1"/>
    <x:col min="6" max="6" width="17" hidden="0" customWidth="1"/>
    <x:col min="7" max="7" width="21" hidden="0" customWidth="1"/>
    <x:col min="8" max="8" width="17"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s>
  <x:sheetData>
    <x:row r="1" ht="25" customHeight="1">
      <x:c r="A1" s="3" t="str">
        <x:v>Formula-Linked Figure Data</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1" customHeight="1">
      <x:c r="A2" s="6" t="str">
        <x:v>Live workbook ranges supporting Figures 3, 4, and Supplementary Figure S2.</x:v>
      </x:c>
      <x:c r="B2" s="6"/>
      <x:c r="C2" s="6"/>
      <x:c r="D2" s="6"/>
      <x:c r="E2" s="6"/>
      <x:c r="F2" s="6"/>
      <x:c r="G2" s="6"/>
      <x:c r="H2" s="6"/>
      <x:c r="I2" s="6"/>
      <x:c r="J2" s="6"/>
      <x:c r="K2" s="6"/>
      <x:c r="L2" s="6"/>
      <x:c r="M2" s="6"/>
      <x:c r="N2" s="6"/>
      <x:c r="O2" s="6"/>
      <x:c r="P2" s="6"/>
      <x:c r="Q2" s="6"/>
      <x:c r="R2" s="6"/>
      <x:c r="S2" s="6"/>
      <x:c r="T2" s="6"/>
      <x:c r="U2" s="6"/>
      <x:c r="V2" s="6"/>
      <x:c r="W2" s="6"/>
      <x:c r="X2" s="6"/>
      <x:c r="Y2" s="6"/>
      <x:c r="Z2" s="6"/>
      <x:c r="AA2" s="6"/>
      <x:c r="AB2" s="6"/>
    </x:row>
    <x:row r="3">
      <x:c r="A3" s="32"/>
      <x:c r="B3" s="32"/>
      <x:c r="C3" s="32"/>
      <x:c r="D3" s="32"/>
      <x:c r="E3" s="32"/>
      <x:c r="F3" s="32"/>
      <x:c r="G3" s="32"/>
      <x:c r="H3" s="32"/>
      <x:c r="I3" s="32"/>
      <x:c r="J3" s="32"/>
      <x:c r="K3" s="32"/>
      <x:c r="L3" s="32"/>
      <x:c r="M3" s="32"/>
      <x:c r="N3" s="32"/>
      <x:c r="O3" s="32"/>
      <x:c r="P3" s="32"/>
      <x:c r="Q3" s="32"/>
      <x:c r="R3" s="32"/>
      <x:c r="S3" s="32"/>
      <x:c r="T3" s="32"/>
      <x:c r="U3" s="32"/>
      <x:c r="V3" s="32"/>
      <x:c r="W3" s="32"/>
      <x:c r="X3" s="32"/>
      <x:c r="Y3" s="32"/>
      <x:c r="Z3" s="32"/>
      <x:c r="AA3" s="32"/>
      <x:c r="AB3" s="32"/>
    </x:row>
    <x:row r="4" ht="20" customHeight="1">
      <x:c r="A4" s="12" t="str">
        <x:v>Figure 3a — WCI and PDLR</x:v>
      </x:c>
      <x:c r="B4" s="13" t="str">
        <x:v>Figure 3a — WCI and PDLR</x:v>
      </x:c>
      <x:c r="C4" s="13" t="str">
        <x:v>Figure 3a — WCI and PDLR</x:v>
      </x:c>
      <x:c r="D4" s="13" t="str">
        <x:v>Figure 3a — WCI and PDLR</x:v>
      </x:c>
      <x:c r="E4" s="14" t="str">
        <x:v>Figure 3a — WCI and PDLR</x:v>
      </x:c>
      <x:c r="F4" s="32"/>
      <x:c r="G4" s="32"/>
      <x:c r="H4" s="32"/>
      <x:c r="I4" s="32"/>
      <x:c r="J4" s="32"/>
      <x:c r="K4" s="32"/>
      <x:c r="L4" s="32"/>
      <x:c r="M4" s="32"/>
      <x:c r="N4" s="32"/>
      <x:c r="O4" s="32"/>
      <x:c r="P4" s="32"/>
      <x:c r="Q4" s="32"/>
      <x:c r="R4" s="32"/>
      <x:c r="S4" s="32"/>
      <x:c r="T4" s="32"/>
      <x:c r="U4" s="32"/>
      <x:c r="V4" s="32"/>
      <x:c r="W4" s="32"/>
      <x:c r="X4" s="32"/>
      <x:c r="Y4" s="32"/>
      <x:c r="Z4" s="32"/>
      <x:c r="AA4" s="32"/>
      <x:c r="AB4" s="32"/>
    </x:row>
    <x:row r="5">
      <x:c r="A5" s="21" t="str">
        <x:v>Site</x:v>
      </x:c>
      <x:c r="B5" s="21" t="str">
        <x:v>WCI</x:v>
      </x:c>
      <x:c r="C5" s="21" t="str">
        <x:v>PDLR</x:v>
      </x:c>
      <x:c r="D5" s="21" t="str">
        <x:v>Boundary</x:v>
      </x:c>
      <x:c r="E5" s="21" t="str">
        <x:v>Evidence</x:v>
      </x:c>
      <x:c r="F5" s="32"/>
      <x:c r="G5" s="32"/>
      <x:c r="H5" s="32"/>
      <x:c r="I5" s="32"/>
      <x:c r="J5" s="32"/>
      <x:c r="K5" s="32"/>
      <x:c r="L5" s="32"/>
      <x:c r="M5" s="32"/>
      <x:c r="N5" s="32"/>
      <x:c r="O5" s="32"/>
      <x:c r="P5" s="32"/>
      <x:c r="Q5" s="32"/>
      <x:c r="R5" s="32"/>
      <x:c r="S5" s="32"/>
      <x:c r="T5" s="32"/>
      <x:c r="U5" s="32"/>
      <x:c r="V5" s="32"/>
      <x:c r="W5" s="32"/>
      <x:c r="X5" s="32"/>
      <x:c r="Y5" s="32"/>
      <x:c r="Z5" s="32"/>
      <x:c r="AA5" s="32"/>
      <x:c r="AB5" s="32"/>
    </x:row>
    <x:row r="6">
      <x:c r="A6" s="24" t="str">
        <x:f>IF('5. Summary'!A5="Wisconsin site","Mount Pleasant, WI",'5. Summary'!A5)</x:f>
        <x:v>Lebanon</x:v>
      </x:c>
      <x:c r="B6" s="37" t="n">
        <x:f>IF('5. Summary'!I5="","",'5. Summary'!I5)</x:f>
        <x:v>1.3391304347826087</x:v>
      </x:c>
      <x:c r="C6" s="37" t="n">
        <x:f>IF('5. Summary'!J5="","",'5. Summary'!J5)</x:f>
        <x:v>1.7391304347826089</x:v>
      </x:c>
      <x:c r="D6" s="24" t="str">
        <x:f>'2. WCI &amp; PDLR'!M5</x:f>
        <x:v>conditional</x:v>
      </x:c>
      <x:c r="E6" s="24" t="str">
        <x:f>'2. WCI &amp; PDLR'!L5</x:f>
        <x:v>W_peak:P; r_peak:T; K:M</x:v>
      </x:c>
      <x:c r="F6" s="32"/>
      <x:c r="G6" s="32"/>
      <x:c r="H6" s="32"/>
      <x:c r="I6" s="32"/>
      <x:c r="J6" s="32"/>
      <x:c r="K6" s="32"/>
      <x:c r="L6" s="32"/>
      <x:c r="M6" s="32"/>
      <x:c r="N6" s="32"/>
      <x:c r="O6" s="32"/>
      <x:c r="P6" s="32"/>
      <x:c r="Q6" s="32"/>
      <x:c r="R6" s="32"/>
      <x:c r="S6" s="32"/>
      <x:c r="T6" s="32"/>
      <x:c r="U6" s="32"/>
      <x:c r="V6" s="32"/>
      <x:c r="W6" s="32"/>
      <x:c r="X6" s="32"/>
      <x:c r="Y6" s="32"/>
      <x:c r="Z6" s="32"/>
      <x:c r="AA6" s="32"/>
      <x:c r="AB6" s="32"/>
    </x:row>
    <x:row r="7">
      <x:c r="A7" s="25" t="str">
        <x:f>IF('5. Summary'!A6="Wisconsin site","Mount Pleasant, WI",'5. Summary'!A6)</x:f>
        <x:v>Council Bluffs</x:v>
      </x:c>
      <x:c r="B7" s="38" t="n">
        <x:f>IF('5. Summary'!I6="","",'5. Summary'!I6)</x:f>
        <x:v>0.5980236794171222</x:v>
      </x:c>
      <x:c r="C7" s="38" t="n">
        <x:f>IF('5. Summary'!J6="","",'5. Summary'!J6)</x:f>
        <x:v>0.8348770491803279</x:v>
      </x:c>
      <x:c r="D7" s="25" t="str">
        <x:f>'2. WCI &amp; PDLR'!M6</x:f>
        <x:v>conditional</x:v>
      </x:c>
      <x:c r="E7" s="25" t="str">
        <x:f>'2. WCI &amp; PDLR'!L6</x:f>
        <x:v>W_avg:R; C_avg:R; PF_shared:T; K:R</x:v>
      </x:c>
      <x:c r="F7" s="32"/>
      <x:c r="G7" s="32"/>
      <x:c r="H7" s="32"/>
      <x:c r="I7" s="32"/>
      <x:c r="J7" s="32"/>
      <x:c r="K7" s="32"/>
      <x:c r="L7" s="32"/>
      <x:c r="M7" s="32"/>
      <x:c r="N7" s="32"/>
      <x:c r="O7" s="32"/>
      <x:c r="P7" s="32"/>
      <x:c r="Q7" s="32"/>
      <x:c r="R7" s="32"/>
      <x:c r="S7" s="32"/>
      <x:c r="T7" s="32"/>
      <x:c r="U7" s="32"/>
      <x:c r="V7" s="32"/>
      <x:c r="W7" s="32"/>
      <x:c r="X7" s="32"/>
      <x:c r="Y7" s="32"/>
      <x:c r="Z7" s="32"/>
      <x:c r="AA7" s="32"/>
      <x:c r="AB7" s="32"/>
    </x:row>
    <x:row r="8">
      <x:c r="A8" s="24" t="str">
        <x:f>IF('5. Summary'!A7="Wisconsin site","Mount Pleasant, WI",'5. Summary'!A7)</x:f>
        <x:v>Mayes County</x:v>
      </x:c>
      <x:c r="B8" s="37" t="n">
        <x:f>IF('5. Summary'!I7="","",'5. Summary'!I7)</x:f>
        <x:v>0.11382513661202187</x:v>
      </x:c>
      <x:c r="C8" s="37" t="n">
        <x:f>IF('5. Summary'!J7="","",'5. Summary'!J7)</x:f>
        <x:v>0.1514071038251366</x:v>
      </x:c>
      <x:c r="D8" s="24" t="str">
        <x:f>'2. WCI &amp; PDLR'!M7</x:f>
        <x:v>conditional</x:v>
      </x:c>
      <x:c r="E8" s="24" t="str">
        <x:f>'2. WCI &amp; PDLR'!L7</x:f>
        <x:v>W_avg:R; C_avg:R; PF_shared:A; K:M</x:v>
      </x:c>
      <x:c r="F8" s="32"/>
      <x:c r="G8" s="32"/>
      <x:c r="H8" s="32"/>
      <x:c r="I8" s="32"/>
      <x:c r="J8" s="32"/>
      <x:c r="K8" s="32"/>
      <x:c r="L8" s="32"/>
      <x:c r="M8" s="32"/>
      <x:c r="N8" s="32"/>
      <x:c r="O8" s="32"/>
      <x:c r="P8" s="32"/>
      <x:c r="Q8" s="32"/>
      <x:c r="R8" s="32"/>
      <x:c r="S8" s="32"/>
      <x:c r="T8" s="32"/>
      <x:c r="U8" s="32"/>
      <x:c r="V8" s="32"/>
      <x:c r="W8" s="32"/>
      <x:c r="X8" s="32"/>
      <x:c r="Y8" s="32"/>
      <x:c r="Z8" s="32"/>
      <x:c r="AA8" s="32"/>
      <x:c r="AB8" s="32"/>
    </x:row>
    <x:row r="9">
      <x:c r="A9" s="25" t="str">
        <x:f>IF('5. Summary'!A8="Wisconsin site","Mount Pleasant, WI",'5. Summary'!A8)</x:f>
        <x:v>The Dalles</x:v>
      </x:c>
      <x:c r="B9" s="38" t="n">
        <x:f>IF('5. Summary'!I8="","",'5. Summary'!I8)</x:f>
        <x:v>0.25083034985239616</x:v>
      </x:c>
      <x:c r="C9" s="38" t="n">
        <x:f>IF('5. Summary'!J8="","",'5. Summary'!J8)</x:f>
        <x:v>0.32002732240437165</x:v>
      </x:c>
      <x:c r="D9" s="25" t="str">
        <x:f>'2. WCI &amp; PDLR'!M8</x:f>
        <x:v>conditional</x:v>
      </x:c>
      <x:c r="E9" s="25" t="str">
        <x:f>'2. WCI &amp; PDLR'!L8</x:f>
        <x:v>W_avg:R; C_avg:R; PF_shared:R; K:M</x:v>
      </x:c>
      <x:c r="F9" s="32"/>
      <x:c r="G9" s="32"/>
      <x:c r="H9" s="32"/>
      <x:c r="I9" s="32"/>
      <x:c r="J9" s="32"/>
      <x:c r="K9" s="32"/>
      <x:c r="L9" s="32"/>
      <x:c r="M9" s="32"/>
      <x:c r="N9" s="32"/>
      <x:c r="O9" s="32"/>
      <x:c r="P9" s="32"/>
      <x:c r="Q9" s="32"/>
      <x:c r="R9" s="32"/>
      <x:c r="S9" s="32"/>
      <x:c r="T9" s="32"/>
      <x:c r="U9" s="32"/>
      <x:c r="V9" s="32"/>
      <x:c r="W9" s="32"/>
      <x:c r="X9" s="32"/>
      <x:c r="Y9" s="32"/>
      <x:c r="Z9" s="32"/>
      <x:c r="AA9" s="32"/>
      <x:c r="AB9" s="32"/>
    </x:row>
    <x:row r="10">
      <x:c r="A10" s="24" t="str">
        <x:f>IF('5. Summary'!A9="Wisconsin site","Mount Pleasant, WI",'5. Summary'!A9)</x:f>
        <x:v>Douglas County</x:v>
      </x:c>
      <x:c r="B10" s="37" t="n">
        <x:f>IF('5. Summary'!I9="","",'5. Summary'!I9)</x:f>
        <x:v>0.8214626068809884</x:v>
      </x:c>
      <x:c r="C10" s="37" t="n">
        <x:f>IF('5. Summary'!J9="","",'5. Summary'!J9)</x:f>
        <x:v>0.9943078324225865</x:v>
      </x:c>
      <x:c r="D10" s="24" t="str">
        <x:f>'2. WCI &amp; PDLR'!M9</x:f>
        <x:v>conditional</x:v>
      </x:c>
      <x:c r="E10" s="24" t="str">
        <x:f>'2. WCI &amp; PDLR'!L9</x:f>
        <x:v>W_avg:R; r_avg:T; PF_shared:A; K:M</x:v>
      </x:c>
      <x:c r="F10" s="32"/>
      <x:c r="G10" s="32"/>
      <x:c r="H10" s="32"/>
      <x:c r="I10" s="32"/>
      <x:c r="J10" s="32"/>
      <x:c r="K10" s="32"/>
      <x:c r="L10" s="32"/>
      <x:c r="M10" s="32"/>
      <x:c r="N10" s="32"/>
      <x:c r="O10" s="32"/>
      <x:c r="P10" s="32"/>
      <x:c r="Q10" s="32"/>
      <x:c r="R10" s="32"/>
      <x:c r="S10" s="32"/>
      <x:c r="T10" s="32"/>
      <x:c r="U10" s="32"/>
      <x:c r="V10" s="32"/>
      <x:c r="W10" s="32"/>
      <x:c r="X10" s="32"/>
      <x:c r="Y10" s="32"/>
      <x:c r="Z10" s="32"/>
      <x:c r="AA10" s="32"/>
      <x:c r="AB10" s="32"/>
    </x:row>
    <x:row r="11">
      <x:c r="A11" s="25" t="str">
        <x:f>IF('5. Summary'!A10="Wisconsin site","Mount Pleasant, WI",'5. Summary'!A10)</x:f>
        <x:v>Mount Pleasant, WI</x:v>
      </x:c>
      <x:c r="B11" s="38" t="n">
        <x:f>IF('5. Summary'!I10="","",'5. Summary'!I10)</x:f>
        <x:v>0.013513500000000001</x:v>
      </x:c>
      <x:c r="C11" s="38" t="n">
        <x:f>IF('5. Summary'!J10="","",'5. Summary'!J10)</x:f>
        <x:v>0.01755</x:v>
      </x:c>
      <x:c r="D11" s="25" t="str">
        <x:f>'2. WCI &amp; PDLR'!M10</x:f>
        <x:v>conditional</x:v>
      </x:c>
      <x:c r="E11" s="25" t="str">
        <x:f>'2. WCI &amp; PDLR'!L10</x:f>
        <x:v>W_avg:R; W_peak:P; r_peak:T; K:M</x:v>
      </x:c>
      <x:c r="F11" s="32"/>
      <x:c r="G11" s="32"/>
      <x:c r="H11" s="32"/>
      <x:c r="I11" s="32"/>
      <x:c r="J11" s="32"/>
      <x:c r="K11" s="32"/>
      <x:c r="L11" s="32"/>
      <x:c r="M11" s="32"/>
      <x:c r="N11" s="32"/>
      <x:c r="O11" s="32"/>
      <x:c r="P11" s="32"/>
      <x:c r="Q11" s="32"/>
      <x:c r="R11" s="32"/>
      <x:c r="S11" s="32"/>
      <x:c r="T11" s="32"/>
      <x:c r="U11" s="32"/>
      <x:c r="V11" s="32"/>
      <x:c r="W11" s="32"/>
      <x:c r="X11" s="32"/>
      <x:c r="Y11" s="32"/>
      <x:c r="Z11" s="32"/>
      <x:c r="AA11" s="32"/>
      <x:c r="AB11" s="32"/>
    </x:row>
    <x:row r="12">
      <x:c r="A12" s="24" t="str">
        <x:f>IF('5. Summary'!A11="Wisconsin site","Mount Pleasant, WI",'5. Summary'!A11)</x:f>
        <x:v>Botetourt County</x:v>
      </x:c>
      <x:c r="B12" s="37" t="n">
        <x:f>IF('5. Summary'!I11="","",'5. Summary'!I11)</x:f>
        <x:v>0.06416666666666666</x:v>
      </x:c>
      <x:c r="C12" s="37" t="n">
        <x:f>IF('5. Summary'!J11="","",'5. Summary'!J11)</x:f>
        <x:v>0.08333333333333333</x:v>
      </x:c>
      <x:c r="D12" s="24" t="str">
        <x:f>'2. WCI &amp; PDLR'!M11</x:f>
        <x:v>conditional</x:v>
      </x:c>
      <x:c r="E12" s="24" t="str">
        <x:f>'2. WCI &amp; PDLR'!L11</x:f>
        <x:v>W_peak:P; r_peak:T; K:M</x:v>
      </x:c>
      <x:c r="F12" s="32"/>
      <x:c r="G12" s="32"/>
      <x:c r="H12" s="32"/>
      <x:c r="I12" s="32"/>
      <x:c r="J12" s="32"/>
      <x:c r="K12" s="32"/>
      <x:c r="L12" s="32"/>
      <x:c r="M12" s="32"/>
      <x:c r="N12" s="32"/>
      <x:c r="O12" s="32"/>
      <x:c r="P12" s="32"/>
      <x:c r="Q12" s="32"/>
      <x:c r="R12" s="32"/>
      <x:c r="S12" s="32"/>
      <x:c r="T12" s="32"/>
      <x:c r="U12" s="32"/>
      <x:c r="V12" s="32"/>
      <x:c r="W12" s="32"/>
      <x:c r="X12" s="32"/>
      <x:c r="Y12" s="32"/>
      <x:c r="Z12" s="32"/>
      <x:c r="AA12" s="32"/>
      <x:c r="AB12" s="32"/>
    </x:row>
    <x:row r="13">
      <x:c r="A13" s="25" t="str">
        <x:f>IF('5. Summary'!A12="Wisconsin site","Mount Pleasant, WI",'5. Summary'!A12)</x:f>
        <x:v>Memphis</x:v>
      </x:c>
      <x:c r="B13" s="38" t="n">
        <x:f>IF('5. Summary'!I12="","",'5. Summary'!I12)</x:f>
        <x:v>0.025666666666666667</x:v>
      </x:c>
      <x:c r="C13" s="38" t="n">
        <x:f>IF('5. Summary'!J12="","",'5. Summary'!J12)</x:f>
        <x:v>0.03333333333333333</x:v>
      </x:c>
      <x:c r="D13" s="25" t="str">
        <x:f>'2. WCI &amp; PDLR'!M12</x:f>
        <x:v>conditional</x:v>
      </x:c>
      <x:c r="E13" s="25" t="str">
        <x:f>'2. WCI &amp; PDLR'!L12</x:f>
        <x:v>W_peak:P; r_peak:T; K:M</x:v>
      </x:c>
      <x:c r="F13" s="32"/>
      <x:c r="G13" s="32"/>
      <x:c r="H13" s="32"/>
      <x:c r="I13" s="32"/>
      <x:c r="J13" s="32"/>
      <x:c r="K13" s="32"/>
      <x:c r="L13" s="32"/>
      <x:c r="M13" s="32"/>
      <x:c r="N13" s="32"/>
      <x:c r="O13" s="32"/>
      <x:c r="P13" s="32"/>
      <x:c r="Q13" s="32"/>
      <x:c r="R13" s="32"/>
      <x:c r="S13" s="32"/>
      <x:c r="T13" s="32"/>
      <x:c r="U13" s="32"/>
      <x:c r="V13" s="32"/>
      <x:c r="W13" s="32"/>
      <x:c r="X13" s="32"/>
      <x:c r="Y13" s="32"/>
      <x:c r="Z13" s="32"/>
      <x:c r="AA13" s="32"/>
      <x:c r="AB13" s="32"/>
    </x:row>
    <x:row r="14">
      <x:c r="A14" s="24" t="str">
        <x:f>IF('5. Summary'!A13="Wisconsin site","Mount Pleasant, WI",'5. Summary'!A13)</x:f>
        <x:v>Midlothian</x:v>
      </x:c>
      <x:c r="B14" s="37" t="n">
        <x:f>IF('5. Summary'!I13="","",'5. Summary'!I13)</x:f>
        <x:v>0.034589404978749246</x:v>
      </x:c>
      <x:c r="C14" s="37" t="n">
        <x:f>IF('5. Summary'!J13="","",'5. Summary'!J13)</x:f>
        <x:v>0.04193230115361263</x:v>
      </x:c>
      <x:c r="D14" s="24" t="str">
        <x:f>'2. WCI &amp; PDLR'!M13</x:f>
        <x:v>conditional</x:v>
      </x:c>
      <x:c r="E14" s="24" t="str">
        <x:f>'2. WCI &amp; PDLR'!L13</x:f>
        <x:v>W_avg:R; C_avg:R; PF_shared:A; K:M</x:v>
      </x:c>
      <x:c r="F14" s="32"/>
      <x:c r="G14" s="32"/>
      <x:c r="H14" s="32"/>
      <x:c r="I14" s="32"/>
      <x:c r="J14" s="32"/>
      <x:c r="K14" s="32"/>
      <x:c r="L14" s="32"/>
      <x:c r="M14" s="32"/>
      <x:c r="N14" s="32"/>
      <x:c r="O14" s="32"/>
      <x:c r="P14" s="32"/>
      <x:c r="Q14" s="32"/>
      <x:c r="R14" s="32"/>
      <x:c r="S14" s="32"/>
      <x:c r="T14" s="32"/>
      <x:c r="U14" s="32"/>
      <x:c r="V14" s="32"/>
      <x:c r="W14" s="32"/>
      <x:c r="X14" s="32"/>
      <x:c r="Y14" s="32"/>
      <x:c r="Z14" s="32"/>
      <x:c r="AA14" s="32"/>
      <x:c r="AB14" s="32"/>
    </x:row>
    <x:row r="15">
      <x:c r="A15" s="25" t="str">
        <x:f>IF('5. Summary'!A14="Wisconsin site","Mount Pleasant, WI",'5. Summary'!A14)</x:f>
        <x:v>Henderson</x:v>
      </x:c>
      <x:c r="B15" s="38" t="n">
        <x:f>IF('5. Summary'!I14="","",'5. Summary'!I14)</x:f>
        <x:v>0.0015740740740740739</x:v>
      </x:c>
      <x:c r="C15" s="38" t="n">
        <x:f>IF('5. Summary'!J14="","",'5. Summary'!J14)</x:f>
        <x:v>0.002731481481481481</x:v>
      </x:c>
      <x:c r="D15" s="25" t="str">
        <x:f>'2. WCI &amp; PDLR'!M14</x:f>
        <x:v>regional</x:v>
      </x:c>
      <x:c r="E15" s="25" t="str">
        <x:f>'2. WCI &amp; PDLR'!L14</x:f>
        <x:v>W_avg:R; C_avg:R; PF_shared:A; K:M</x:v>
      </x:c>
      <x:c r="F15" s="32"/>
      <x:c r="G15" s="32"/>
      <x:c r="H15" s="32"/>
      <x:c r="I15" s="32"/>
      <x:c r="J15" s="32"/>
      <x:c r="K15" s="32"/>
      <x:c r="L15" s="32"/>
      <x:c r="M15" s="32"/>
      <x:c r="N15" s="32"/>
      <x:c r="O15" s="32"/>
      <x:c r="P15" s="32"/>
      <x:c r="Q15" s="32"/>
      <x:c r="R15" s="32"/>
      <x:c r="S15" s="32"/>
      <x:c r="T15" s="32"/>
      <x:c r="U15" s="32"/>
      <x:c r="V15" s="32"/>
      <x:c r="W15" s="32"/>
      <x:c r="X15" s="32"/>
      <x:c r="Y15" s="32"/>
      <x:c r="Z15" s="32"/>
      <x:c r="AA15" s="32"/>
      <x:c r="AB15" s="32"/>
    </x:row>
    <x:row r="16">
      <x:c r="A16" s="32"/>
      <x:c r="B16" s="32"/>
      <x:c r="C16" s="32"/>
      <x:c r="D16" s="32"/>
      <x:c r="E16" s="32"/>
      <x:c r="F16" s="32"/>
      <x:c r="G16" s="32"/>
      <x:c r="H16" s="32"/>
      <x:c r="I16" s="32"/>
      <x:c r="J16" s="32"/>
      <x:c r="K16" s="32"/>
      <x:c r="L16" s="32"/>
      <x:c r="M16" s="32"/>
      <x:c r="N16" s="32"/>
      <x:c r="O16" s="32"/>
      <x:c r="P16" s="32"/>
      <x:c r="Q16" s="32"/>
      <x:c r="R16" s="32"/>
      <x:c r="S16" s="32"/>
      <x:c r="T16" s="32"/>
      <x:c r="U16" s="32"/>
      <x:c r="V16" s="32"/>
      <x:c r="W16" s="32"/>
      <x:c r="X16" s="32"/>
      <x:c r="Y16" s="32"/>
      <x:c r="Z16" s="32"/>
      <x:c r="AA16" s="32"/>
      <x:c r="AB16" s="32"/>
    </x:row>
    <x:row r="17">
      <x:c r="A17" s="32"/>
      <x:c r="B17" s="32"/>
      <x:c r="C17" s="32"/>
      <x:c r="D17" s="32"/>
      <x:c r="E17" s="32"/>
      <x:c r="F17" s="32"/>
      <x:c r="G17" s="32"/>
      <x:c r="H17" s="32"/>
      <x:c r="I17" s="32"/>
      <x:c r="J17" s="32"/>
      <x:c r="K17" s="32"/>
      <x:c r="L17" s="32"/>
      <x:c r="M17" s="32"/>
      <x:c r="N17" s="32"/>
      <x:c r="O17" s="32"/>
      <x:c r="P17" s="32"/>
      <x:c r="Q17" s="32"/>
      <x:c r="R17" s="32"/>
      <x:c r="S17" s="32"/>
      <x:c r="T17" s="32"/>
      <x:c r="U17" s="32"/>
      <x:c r="V17" s="32"/>
      <x:c r="W17" s="32"/>
      <x:c r="X17" s="32"/>
      <x:c r="Y17" s="32"/>
      <x:c r="Z17" s="32"/>
      <x:c r="AA17" s="32"/>
      <x:c r="AB17" s="32"/>
    </x:row>
    <x:row r="18" ht="20" customHeight="1">
      <x:c r="A18" s="12" t="str">
        <x:v>Figure 3b and Figure 4b — Community context</x:v>
      </x:c>
      <x:c r="B18" s="13" t="str">
        <x:v>Figure 3b and Figure 4b — Community context</x:v>
      </x:c>
      <x:c r="C18" s="13" t="str">
        <x:v>Figure 3b and Figure 4b — Community context</x:v>
      </x:c>
      <x:c r="D18" s="13" t="str">
        <x:v>Figure 3b and Figure 4b — Community context</x:v>
      </x:c>
      <x:c r="E18" s="13" t="str">
        <x:v>Figure 3b and Figure 4b — Community context</x:v>
      </x:c>
      <x:c r="F18" s="13" t="str">
        <x:v>Figure 3b and Figure 4b — Community context</x:v>
      </x:c>
      <x:c r="G18" s="13" t="str">
        <x:v>Figure 3b and Figure 4b — Community context</x:v>
      </x:c>
      <x:c r="H18" s="13" t="str">
        <x:v>Figure 3b and Figure 4b — Community context</x:v>
      </x:c>
      <x:c r="I18" s="14" t="str">
        <x:v>Figure 3b and Figure 4b — Community context</x:v>
      </x:c>
      <x:c r="J18" s="32"/>
      <x:c r="K18" s="32"/>
      <x:c r="L18" s="32"/>
      <x:c r="M18" s="32"/>
      <x:c r="N18" s="32"/>
      <x:c r="O18" s="32"/>
      <x:c r="P18" s="32"/>
      <x:c r="Q18" s="32"/>
      <x:c r="R18" s="32"/>
      <x:c r="S18" s="32"/>
      <x:c r="T18" s="32"/>
      <x:c r="U18" s="32"/>
      <x:c r="V18" s="32"/>
      <x:c r="W18" s="32"/>
      <x:c r="X18" s="32"/>
      <x:c r="Y18" s="32"/>
      <x:c r="Z18" s="32"/>
      <x:c r="AA18" s="32"/>
      <x:c r="AB18" s="32"/>
    </x:row>
    <x:row r="19">
      <x:c r="A19" s="21" t="str">
        <x:v>Site</x:v>
      </x:c>
      <x:c r="B19" s="21" t="str">
        <x:v>Household equivalent</x:v>
      </x:c>
      <x:c r="C19" s="21" t="str">
        <x:v>Community share</x:v>
      </x:c>
      <x:c r="D19" s="21" t="str">
        <x:v>Jurisdiction</x:v>
      </x:c>
      <x:c r="E19" s="21" t="str">
        <x:v>Status</x:v>
      </x:c>
      <x:c r="F19" s="32"/>
      <x:c r="G19" s="32"/>
      <x:c r="H19" s="21" t="str">
        <x:v>Site (share)</x:v>
      </x:c>
      <x:c r="I19" s="21" t="str">
        <x:v>Community share</x:v>
      </x:c>
      <x:c r="J19" s="32"/>
      <x:c r="K19" s="32"/>
      <x:c r="L19" s="32"/>
      <x:c r="M19" s="32"/>
      <x:c r="N19" s="32"/>
      <x:c r="O19" s="32"/>
      <x:c r="P19" s="32"/>
      <x:c r="Q19" s="32"/>
      <x:c r="R19" s="32"/>
      <x:c r="S19" s="32"/>
      <x:c r="T19" s="32"/>
      <x:c r="U19" s="32"/>
      <x:c r="V19" s="32"/>
      <x:c r="W19" s="32"/>
      <x:c r="X19" s="32"/>
      <x:c r="Y19" s="32"/>
      <x:c r="Z19" s="32"/>
      <x:c r="AA19" s="32"/>
      <x:c r="AB19" s="32"/>
    </x:row>
    <x:row r="20">
      <x:c r="A20" s="24" t="str">
        <x:f>IF('3. Community Context'!A6="Wisconsin site","Mount Pleasant, WI",'3. Community Context'!A6)</x:f>
        <x:v>Council Bluffs</x:v>
      </x:c>
      <x:c r="B20" s="59" t="n">
        <x:f>IF('3. Community Context'!J6="","",'3. Community Context'!J6)</x:f>
        <x:v>9223.4032421618</x:v>
      </x:c>
      <x:c r="C20" s="37" t="n">
        <x:f>IF('3. Community Context'!K6="","",'3. Community Context'!K6)</x:f>
        <x:v>0.5359937162313057</x:v>
      </x:c>
      <x:c r="D20" s="24" t="str">
        <x:f>'3. Community Context'!I6</x:f>
        <x:v>Council Bluffs city, Iowa</x:v>
      </x:c>
      <x:c r="E20" s="24" t="str">
        <x:f>'3. Community Context'!L6</x:f>
        <x:v>admissible_context_only</x:v>
      </x:c>
      <x:c r="F20" s="32"/>
      <x:c r="G20" s="32"/>
      <x:c r="H20" s="24" t="str">
        <x:f>A20</x:f>
        <x:v>Council Bluffs</x:v>
      </x:c>
      <x:c r="I20" s="37" t="n">
        <x:f>IF(C20="","",C20)</x:f>
        <x:v>0.5359937162313057</x:v>
      </x:c>
      <x:c r="J20" s="32"/>
      <x:c r="K20" s="32"/>
      <x:c r="L20" s="32"/>
      <x:c r="M20" s="32"/>
      <x:c r="N20" s="32"/>
      <x:c r="O20" s="32"/>
      <x:c r="P20" s="32"/>
      <x:c r="Q20" s="32"/>
      <x:c r="R20" s="32"/>
      <x:c r="S20" s="32"/>
      <x:c r="T20" s="32"/>
      <x:c r="U20" s="32"/>
      <x:c r="V20" s="32"/>
      <x:c r="W20" s="32"/>
      <x:c r="X20" s="32"/>
      <x:c r="Y20" s="32"/>
      <x:c r="Z20" s="32"/>
      <x:c r="AA20" s="32"/>
      <x:c r="AB20" s="32"/>
    </x:row>
    <x:row r="21">
      <x:c r="A21" s="25" t="str">
        <x:f>IF('3. Community Context'!A7="Wisconsin site","Mount Pleasant, WI",'3. Community Context'!A7)</x:f>
        <x:v>Mayes County</x:v>
      </x:c>
      <x:c r="B21" s="60" t="n">
        <x:f>IF('3. Community Context'!J7="","",'3. Community Context'!J7)</x:f>
        <x:v>7607.344665769883</x:v>
      </x:c>
      <x:c r="C21" s="38" t="n">
        <x:f>IF('3. Community Context'!K7="","",'3. Community Context'!K7)</x:f>
        <x:v>0.7110133801657332</x:v>
      </x:c>
      <x:c r="D21" s="25" t="str">
        <x:f>'3. Community Context'!I7</x:f>
        <x:v>Mayes County, Oklahoma</x:v>
      </x:c>
      <x:c r="E21" s="25" t="str">
        <x:f>'3. Community Context'!L7</x:f>
        <x:v>admissible_context_only</x:v>
      </x:c>
      <x:c r="F21" s="32"/>
      <x:c r="G21" s="32"/>
      <x:c r="H21" s="25" t="str">
        <x:f>A21</x:f>
        <x:v>Mayes County</x:v>
      </x:c>
      <x:c r="I21" s="38" t="n">
        <x:f>IF(C21="","",C21)</x:f>
        <x:v>0.7110133801657332</x:v>
      </x:c>
      <x:c r="J21" s="32"/>
      <x:c r="K21" s="32"/>
      <x:c r="L21" s="32"/>
      <x:c r="M21" s="32"/>
      <x:c r="N21" s="32"/>
      <x:c r="O21" s="32"/>
      <x:c r="P21" s="32"/>
      <x:c r="Q21" s="32"/>
      <x:c r="R21" s="32"/>
      <x:c r="S21" s="32"/>
      <x:c r="T21" s="32"/>
      <x:c r="U21" s="32"/>
      <x:c r="V21" s="32"/>
      <x:c r="W21" s="32"/>
      <x:c r="X21" s="32"/>
      <x:c r="Y21" s="32"/>
      <x:c r="Z21" s="32"/>
      <x:c r="AA21" s="32"/>
      <x:c r="AB21" s="32"/>
    </x:row>
    <x:row r="22">
      <x:c r="A22" s="24" t="str">
        <x:f>IF('3. Community Context'!A8="Wisconsin site","Mount Pleasant, WI",'3. Community Context'!A8)</x:f>
        <x:v>The Dalles</x:v>
      </x:c>
      <x:c r="B22" s="59" t="n">
        <x:f>IF('3. Community Context'!J8="","",'3. Community Context'!J8)</x:f>
        <x:v>3299.681183640862</x:v>
      </x:c>
      <x:c r="C22" s="37" t="n">
        <x:f>IF('3. Community Context'!K8="","",'3. Community Context'!K8)</x:f>
        <x:v>0.7521455294625311</x:v>
      </x:c>
      <x:c r="D22" s="24" t="str">
        <x:f>'3. Community Context'!I8</x:f>
        <x:v>The Dalles city, Oregon</x:v>
      </x:c>
      <x:c r="E22" s="24" t="str">
        <x:f>'3. Community Context'!L8</x:f>
        <x:v>admissible_context_only</x:v>
      </x:c>
      <x:c r="F22" s="32"/>
      <x:c r="G22" s="32"/>
      <x:c r="H22" s="24" t="str">
        <x:f>A22</x:f>
        <x:v>The Dalles</x:v>
      </x:c>
      <x:c r="I22" s="37" t="n">
        <x:f>IF(C22="","",C22)</x:f>
        <x:v>0.7521455294625311</x:v>
      </x:c>
      <x:c r="J22" s="32"/>
      <x:c r="K22" s="32"/>
      <x:c r="L22" s="32"/>
      <x:c r="M22" s="32"/>
      <x:c r="N22" s="32"/>
      <x:c r="O22" s="32"/>
      <x:c r="P22" s="32"/>
      <x:c r="Q22" s="32"/>
      <x:c r="R22" s="32"/>
      <x:c r="S22" s="32"/>
      <x:c r="T22" s="32"/>
      <x:c r="U22" s="32"/>
      <x:c r="V22" s="32"/>
      <x:c r="W22" s="32"/>
      <x:c r="X22" s="32"/>
      <x:c r="Y22" s="32"/>
      <x:c r="Z22" s="32"/>
      <x:c r="AA22" s="32"/>
      <x:c r="AB22" s="32"/>
    </x:row>
    <x:row r="23">
      <x:c r="A23" s="25" t="str">
        <x:f>IF('3. Community Context'!A9="Wisconsin site","Mount Pleasant, WI",'3. Community Context'!A9)</x:f>
        <x:v>Douglas County</x:v>
      </x:c>
      <x:c r="B23" s="60" t="n">
        <x:f>IF('3. Community Context'!J9="","",'3. Community Context'!J9)</x:f>
        <x:v>3349.8976930651957</x:v>
      </x:c>
      <x:c r="C23" s="38" t="n">
        <x:f>IF('3. Community Context'!K9="","",'3. Community Context'!K9)</x:f>
        <x:v>0.08475710085467397</x:v>
      </x:c>
      <x:c r="D23" s="25" t="str">
        <x:f>'3. Community Context'!I9</x:f>
        <x:v>Douglas County, Georgia</x:v>
      </x:c>
      <x:c r="E23" s="25" t="str">
        <x:f>'3. Community Context'!L9</x:f>
        <x:v>admissible_context_only</x:v>
      </x:c>
      <x:c r="F23" s="32"/>
      <x:c r="G23" s="32"/>
      <x:c r="H23" s="25" t="str">
        <x:f>A23</x:f>
        <x:v>Douglas County</x:v>
      </x:c>
      <x:c r="I23" s="38" t="n">
        <x:f>IF(C23="","",C23)</x:f>
        <x:v>0.08475710085467397</x:v>
      </x:c>
      <x:c r="J23" s="32"/>
      <x:c r="K23" s="32"/>
      <x:c r="L23" s="32"/>
      <x:c r="M23" s="32"/>
      <x:c r="N23" s="32"/>
      <x:c r="O23" s="32"/>
      <x:c r="P23" s="32"/>
      <x:c r="Q23" s="32"/>
      <x:c r="R23" s="32"/>
      <x:c r="S23" s="32"/>
      <x:c r="T23" s="32"/>
      <x:c r="U23" s="32"/>
      <x:c r="V23" s="32"/>
      <x:c r="W23" s="32"/>
      <x:c r="X23" s="32"/>
      <x:c r="Y23" s="32"/>
      <x:c r="Z23" s="32"/>
      <x:c r="AA23" s="32"/>
      <x:c r="AB23" s="32"/>
    </x:row>
    <x:row r="24">
      <x:c r="A24" s="24" t="str">
        <x:f>IF('3. Community Context'!A12="Wisconsin site","Mount Pleasant, WI",'3. Community Context'!A12)</x:f>
        <x:v>Midlothian</x:v>
      </x:c>
      <x:c r="B24" s="59" t="n">
        <x:f>IF('3. Community Context'!J12="","",'3. Community Context'!J12)</x:f>
        <x:v>1664.4490309291245</x:v>
      </x:c>
      <x:c r="C24" s="37" t="n">
        <x:f>IF('3. Community Context'!K12="","",'3. Community Context'!K12)</x:f>
        <x:v>0.17293201343425052</x:v>
      </x:c>
      <x:c r="D24" s="24" t="str">
        <x:f>'3. Community Context'!I12</x:f>
        <x:v>Midlothian city, Texas</x:v>
      </x:c>
      <x:c r="E24" s="24" t="str">
        <x:f>'3. Community Context'!L12</x:f>
        <x:v>admissible_context_only</x:v>
      </x:c>
      <x:c r="F24" s="32"/>
      <x:c r="G24" s="32"/>
      <x:c r="H24" s="24" t="str">
        <x:f>A24</x:f>
        <x:v>Midlothian</x:v>
      </x:c>
      <x:c r="I24" s="37" t="n">
        <x:f>IF(C24="","",C24)</x:f>
        <x:v>0.17293201343425052</x:v>
      </x:c>
      <x:c r="J24" s="32"/>
      <x:c r="K24" s="32"/>
      <x:c r="L24" s="32"/>
      <x:c r="M24" s="32"/>
      <x:c r="N24" s="32"/>
      <x:c r="O24" s="32"/>
      <x:c r="P24" s="32"/>
      <x:c r="Q24" s="32"/>
      <x:c r="R24" s="32"/>
      <x:c r="S24" s="32"/>
      <x:c r="T24" s="32"/>
      <x:c r="U24" s="32"/>
      <x:c r="V24" s="32"/>
      <x:c r="W24" s="32"/>
      <x:c r="X24" s="32"/>
      <x:c r="Y24" s="32"/>
      <x:c r="Z24" s="32"/>
      <x:c r="AA24" s="32"/>
      <x:c r="AB24" s="32"/>
    </x:row>
    <x:row r="25">
      <x:c r="A25" s="25" t="str">
        <x:f>IF('3. Community Context'!A14="Wisconsin site","Mount Pleasant, WI",'3. Community Context'!A14)</x:f>
        <x:v>Henderson</x:v>
      </x:c>
      <x:c r="B25" s="60" t="n">
        <x:f>IF('3. Community Context'!J14="","",'3. Community Context'!J14)</x:f>
        <x:v>1893.6189194453978</x:v>
      </x:c>
      <x:c r="C25" s="38" t="n">
        <x:f>IF('3. Community Context'!K14="","",'3. Community Context'!K14)</x:f>
        <x:v>0.021758033770017077</x:v>
      </x:c>
      <x:c r="D25" s="25" t="str">
        <x:f>'3. Community Context'!I14</x:f>
        <x:v>Henderson city, Nevada</x:v>
      </x:c>
      <x:c r="E25" s="25" t="str">
        <x:f>'3. Community Context'!L14</x:f>
        <x:v>admissible_context_only</x:v>
      </x:c>
      <x:c r="F25" s="32"/>
      <x:c r="G25" s="32"/>
      <x:c r="H25" s="25" t="str">
        <x:f>A25</x:f>
        <x:v>Henderson</x:v>
      </x:c>
      <x:c r="I25" s="38" t="n">
        <x:f>IF(C25="","",C25)</x:f>
        <x:v>0.021758033770017077</x:v>
      </x:c>
      <x:c r="J25" s="32"/>
      <x:c r="K25" s="32"/>
      <x:c r="L25" s="32"/>
      <x:c r="M25" s="32"/>
      <x:c r="N25" s="32"/>
      <x:c r="O25" s="32"/>
      <x:c r="P25" s="32"/>
      <x:c r="Q25" s="32"/>
      <x:c r="R25" s="32"/>
      <x:c r="S25" s="32"/>
      <x:c r="T25" s="32"/>
      <x:c r="U25" s="32"/>
      <x:c r="V25" s="32"/>
      <x:c r="W25" s="32"/>
      <x:c r="X25" s="32"/>
      <x:c r="Y25" s="32"/>
      <x:c r="Z25" s="32"/>
      <x:c r="AA25" s="32"/>
      <x:c r="AB25" s="32"/>
    </x:row>
    <x:row r="26">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2"/>
      <x:c r="Y26" s="32"/>
      <x:c r="Z26" s="32"/>
      <x:c r="AA26" s="32"/>
      <x:c r="AB26" s="32"/>
    </x:row>
    <x:row r="27">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2"/>
      <x:c r="Y27" s="32"/>
      <x:c r="Z27" s="32"/>
      <x:c r="AA27" s="32"/>
      <x:c r="AB27" s="32"/>
    </x:row>
    <x:row r="28">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2"/>
      <x:c r="Y28" s="32"/>
      <x:c r="Z28" s="32"/>
      <x:c r="AA28" s="32"/>
      <x:c r="AB28" s="32"/>
    </x:row>
    <x:row r="29" ht="20" customHeight="1">
      <x:c r="A29" s="12" t="str">
        <x:v>Figure 4a — Factor profiles</x:v>
      </x:c>
      <x:c r="B29" s="13" t="str">
        <x:v>Figure 4a — Factor profiles</x:v>
      </x:c>
      <x:c r="C29" s="13" t="str">
        <x:v>Figure 4a — Factor profiles</x:v>
      </x:c>
      <x:c r="D29" s="13" t="str">
        <x:v>Figure 4a — Factor profiles</x:v>
      </x:c>
      <x:c r="E29" s="13" t="str">
        <x:v>Figure 4a — Factor profiles</x:v>
      </x:c>
      <x:c r="F29" s="13" t="str">
        <x:v>Figure 4a — Factor profiles</x:v>
      </x:c>
      <x:c r="G29" s="13" t="str">
        <x:v>Figure 4a — Factor profiles</x:v>
      </x:c>
      <x:c r="H29" s="14" t="str">
        <x:v>Figure 4a — Factor profiles</x:v>
      </x:c>
      <x:c r="I29" s="32"/>
      <x:c r="J29" s="32"/>
      <x:c r="K29" s="32"/>
      <x:c r="L29" s="32"/>
      <x:c r="M29" s="32"/>
      <x:c r="N29" s="32"/>
      <x:c r="O29" s="32"/>
      <x:c r="P29" s="32"/>
      <x:c r="Q29" s="32"/>
      <x:c r="R29" s="32"/>
      <x:c r="S29" s="32"/>
      <x:c r="T29" s="32"/>
      <x:c r="U29" s="32"/>
      <x:c r="V29" s="32"/>
      <x:c r="W29" s="32"/>
      <x:c r="X29" s="32"/>
      <x:c r="Y29" s="32"/>
      <x:c r="Z29" s="32"/>
      <x:c r="AA29" s="32"/>
      <x:c r="AB29" s="32"/>
    </x:row>
    <x:row r="30">
      <x:c r="A30" s="21" t="str">
        <x:v>Site</x:v>
      </x:c>
      <x:c r="B30" s="21" t="str">
        <x:v>Demand / K</x:v>
      </x:c>
      <x:c r="C30" s="21" t="str">
        <x:v>r</x:v>
      </x:c>
      <x:c r="D30" s="21" t="str">
        <x:v>PF</x:v>
      </x:c>
      <x:c r="E30" s="21" t="str">
        <x:v>WCI</x:v>
      </x:c>
      <x:c r="F30" s="21" t="str">
        <x:v>PDLR</x:v>
      </x:c>
      <x:c r="G30" s="21" t="str">
        <x:v>Site (PF)</x:v>
      </x:c>
      <x:c r="H30" s="21" t="str">
        <x:v>PF</x:v>
      </x:c>
      <x:c r="I30" s="32"/>
      <x:c r="J30" s="32"/>
      <x:c r="K30" s="32"/>
      <x:c r="L30" s="32"/>
      <x:c r="M30" s="32"/>
      <x:c r="N30" s="32"/>
      <x:c r="O30" s="32"/>
      <x:c r="P30" s="32"/>
      <x:c r="Q30" s="32"/>
      <x:c r="R30" s="32"/>
      <x:c r="S30" s="32"/>
      <x:c r="T30" s="32"/>
      <x:c r="U30" s="32"/>
      <x:c r="V30" s="32"/>
      <x:c r="W30" s="32"/>
      <x:c r="X30" s="32"/>
      <x:c r="Y30" s="32"/>
      <x:c r="Z30" s="32"/>
      <x:c r="AA30" s="32"/>
      <x:c r="AB30" s="32"/>
    </x:row>
    <x:row r="31">
      <x:c r="A31" s="24" t="str">
        <x:f>IF('5. Summary'!A5="Wisconsin site","Mount Pleasant, WI",'5. Summary'!A5)</x:f>
        <x:v>Lebanon</x:v>
      </x:c>
      <x:c r="B31" s="35" t="n">
        <x:f>IF(OR('5. Summary'!H5="",'5. Summary'!H5&lt;=0),"",IF('5. Summary'!E5="average",'1. Inputs &amp; Evidence'!F5/'1. Inputs &amp; Evidence'!K5,'1. Inputs &amp; Evidence'!H5/'1. Inputs &amp; Evidence'!K5))</x:f>
        <x:v>1.7391304347826089</x:v>
      </x:c>
      <x:c r="C31" s="35" t="n">
        <x:f>IF('5. Summary'!F5="","",'5. Summary'!F5)</x:f>
        <x:v>0.77</x:v>
      </x:c>
      <x:c r="D31" s="76" t="str">
        <x:f>IF('5. Summary'!G5="","",'5. Summary'!G5)</x:f>
      </x:c>
      <x:c r="E31" s="37" t="n">
        <x:f>IF('5. Summary'!I5="","",'5. Summary'!I5)</x:f>
        <x:v>1.3391304347826087</x:v>
      </x:c>
      <x:c r="F31" s="37" t="n">
        <x:f>IF('5. Summary'!J5="","",'5. Summary'!J5)</x:f>
        <x:v>1.7391304347826089</x:v>
      </x:c>
      <x:c r="G31" s="24" t="str">
        <x:f>A31</x:f>
        <x:v>Lebanon</x:v>
      </x:c>
      <x:c r="H31" s="24" t="str">
        <x:f>IF(D31="","",D31)</x:f>
      </x:c>
      <x:c r="I31" s="32"/>
      <x:c r="J31" s="32"/>
      <x:c r="K31" s="32"/>
      <x:c r="L31" s="32"/>
      <x:c r="M31" s="32"/>
      <x:c r="N31" s="32"/>
      <x:c r="O31" s="32"/>
      <x:c r="P31" s="32"/>
      <x:c r="Q31" s="32"/>
      <x:c r="R31" s="32"/>
      <x:c r="S31" s="32"/>
      <x:c r="T31" s="32"/>
      <x:c r="U31" s="32"/>
      <x:c r="V31" s="32"/>
      <x:c r="W31" s="32"/>
      <x:c r="X31" s="32"/>
      <x:c r="Y31" s="32"/>
      <x:c r="Z31" s="32"/>
      <x:c r="AA31" s="32"/>
      <x:c r="AB31" s="32"/>
    </x:row>
    <x:row r="32">
      <x:c r="A32" s="25" t="str">
        <x:f>IF('5. Summary'!A6="Wisconsin site","Mount Pleasant, WI",'5. Summary'!A6)</x:f>
        <x:v>Council Bluffs</x:v>
      </x:c>
      <x:c r="B32" s="36" t="n">
        <x:f>IF(OR('5. Summary'!H6="",'5. Summary'!H6&lt;=0),"",IF('5. Summary'!E6="average",'1. Inputs &amp; Evidence'!F6/'1. Inputs &amp; Evidence'!K6,'1. Inputs &amp; Evidence'!H6/'1. Inputs &amp; Evidence'!K6))</x:f>
        <x:v>0.12844262295081968</x:v>
      </x:c>
      <x:c r="C32" s="36" t="n">
        <x:f>IF('5. Summary'!F6="","",'5. Summary'!F6)</x:f>
        <x:v>0.716301496135574</x:v>
      </x:c>
      <x:c r="D32" s="77" t="n">
        <x:f>IF('5. Summary'!G6="","",'5. Summary'!G6)</x:f>
        <x:v>6.5</x:v>
      </x:c>
      <x:c r="E32" s="38" t="n">
        <x:f>IF('5. Summary'!I6="","",'5. Summary'!I6)</x:f>
        <x:v>0.5980236794171222</x:v>
      </x:c>
      <x:c r="F32" s="38" t="n">
        <x:f>IF('5. Summary'!J6="","",'5. Summary'!J6)</x:f>
        <x:v>0.8348770491803279</x:v>
      </x:c>
      <x:c r="G32" s="25" t="str">
        <x:f>A32</x:f>
        <x:v>Council Bluffs</x:v>
      </x:c>
      <x:c r="H32" s="25" t="n">
        <x:f>IF(D32="","",D32)</x:f>
        <x:v>6.5</x:v>
      </x:c>
      <x:c r="I32" s="32"/>
      <x:c r="J32" s="32"/>
      <x:c r="K32" s="32"/>
      <x:c r="L32" s="32"/>
      <x:c r="M32" s="32"/>
      <x:c r="N32" s="32"/>
      <x:c r="O32" s="32"/>
      <x:c r="P32" s="32"/>
      <x:c r="Q32" s="32"/>
      <x:c r="R32" s="32"/>
      <x:c r="S32" s="32"/>
      <x:c r="T32" s="32"/>
      <x:c r="U32" s="32"/>
      <x:c r="V32" s="32"/>
      <x:c r="W32" s="32"/>
      <x:c r="X32" s="32"/>
      <x:c r="Y32" s="32"/>
      <x:c r="Z32" s="32"/>
      <x:c r="AA32" s="32"/>
      <x:c r="AB32" s="32"/>
    </x:row>
    <x:row r="33">
      <x:c r="A33" s="24" t="str">
        <x:f>IF('5. Summary'!A7="Wisconsin site","Mount Pleasant, WI",'5. Summary'!A7)</x:f>
        <x:v>Mayes County</x:v>
      </x:c>
      <x:c r="B33" s="35" t="n">
        <x:f>IF(OR('5. Summary'!H7="",'5. Summary'!H7&lt;=0),"",IF('5. Summary'!E7="average",'1. Inputs &amp; Evidence'!F7/'1. Inputs &amp; Evidence'!K7,'1. Inputs &amp; Evidence'!H7/'1. Inputs &amp; Evidence'!K7))</x:f>
        <x:v>0.06056284153005464</x:v>
      </x:c>
      <x:c r="C33" s="35" t="n">
        <x:f>IF('5. Summary'!F7="","",'5. Summary'!F7)</x:f>
        <x:v>0.7517820084814583</x:v>
      </x:c>
      <x:c r="D33" s="76" t="n">
        <x:f>IF('5. Summary'!G7="","",'5. Summary'!G7)</x:f>
        <x:v>2.5</x:v>
      </x:c>
      <x:c r="E33" s="37" t="n">
        <x:f>IF('5. Summary'!I7="","",'5. Summary'!I7)</x:f>
        <x:v>0.11382513661202187</x:v>
      </x:c>
      <x:c r="F33" s="37" t="n">
        <x:f>IF('5. Summary'!J7="","",'5. Summary'!J7)</x:f>
        <x:v>0.1514071038251366</x:v>
      </x:c>
      <x:c r="G33" s="24" t="str">
        <x:f>A33</x:f>
        <x:v>Mayes County</x:v>
      </x:c>
      <x:c r="H33" s="24" t="n">
        <x:f>IF(D33="","",D33)</x:f>
        <x:v>2.5</x:v>
      </x:c>
      <x:c r="I33" s="32"/>
      <x:c r="J33" s="32"/>
      <x:c r="K33" s="32"/>
      <x:c r="L33" s="32"/>
      <x:c r="M33" s="32"/>
      <x:c r="N33" s="32"/>
      <x:c r="O33" s="32"/>
      <x:c r="P33" s="32"/>
      <x:c r="Q33" s="32"/>
      <x:c r="R33" s="32"/>
      <x:c r="S33" s="32"/>
      <x:c r="T33" s="32"/>
      <x:c r="U33" s="32"/>
      <x:c r="V33" s="32"/>
      <x:c r="W33" s="32"/>
      <x:c r="X33" s="32"/>
      <x:c r="Y33" s="32"/>
      <x:c r="Z33" s="32"/>
      <x:c r="AA33" s="32"/>
      <x:c r="AB33" s="32"/>
    </x:row>
    <x:row r="34">
      <x:c r="A34" s="25" t="str">
        <x:f>IF('5. Summary'!A8="Wisconsin site","Mount Pleasant, WI",'5. Summary'!A8)</x:f>
        <x:v>The Dalles</x:v>
      </x:c>
      <x:c r="B34" s="36" t="n">
        <x:f>IF(OR('5. Summary'!H8="",'5. Summary'!H8&lt;=0),"",IF('5. Summary'!E8="average",'1. Inputs &amp; Evidence'!F8/'1. Inputs &amp; Evidence'!K8,'1. Inputs &amp; Evidence'!H8/'1. Inputs &amp; Evidence'!K8))</x:f>
        <x:v>0.14480874316939893</x:v>
      </x:c>
      <x:c r="C34" s="36" t="n">
        <x:f>IF('5. Summary'!F8="","",'5. Summary'!F8)</x:f>
        <x:v>0.7837779223595748</x:v>
      </x:c>
      <x:c r="D34" s="77" t="n">
        <x:f>IF('5. Summary'!G8="","",'5. Summary'!G8)</x:f>
        <x:v>2.21</x:v>
      </x:c>
      <x:c r="E34" s="38" t="n">
        <x:f>IF('5. Summary'!I8="","",'5. Summary'!I8)</x:f>
        <x:v>0.25083034985239616</x:v>
      </x:c>
      <x:c r="F34" s="38" t="n">
        <x:f>IF('5. Summary'!J8="","",'5. Summary'!J8)</x:f>
        <x:v>0.32002732240437165</x:v>
      </x:c>
      <x:c r="G34" s="25" t="str">
        <x:f>A34</x:f>
        <x:v>The Dalles</x:v>
      </x:c>
      <x:c r="H34" s="25" t="n">
        <x:f>IF(D34="","",D34)</x:f>
        <x:v>2.21</x:v>
      </x:c>
      <x:c r="I34" s="32"/>
      <x:c r="J34" s="32"/>
      <x:c r="K34" s="32"/>
      <x:c r="L34" s="32"/>
      <x:c r="M34" s="32"/>
      <x:c r="N34" s="32"/>
      <x:c r="O34" s="32"/>
      <x:c r="P34" s="32"/>
      <x:c r="Q34" s="32"/>
      <x:c r="R34" s="32"/>
      <x:c r="S34" s="32"/>
      <x:c r="T34" s="32"/>
      <x:c r="U34" s="32"/>
      <x:c r="V34" s="32"/>
      <x:c r="W34" s="32"/>
      <x:c r="X34" s="32"/>
      <x:c r="Y34" s="32"/>
      <x:c r="Z34" s="32"/>
      <x:c r="AA34" s="32"/>
      <x:c r="AB34" s="32"/>
    </x:row>
    <x:row r="35">
      <x:c r="A35" s="24" t="str">
        <x:f>IF('5. Summary'!A9="Wisconsin site","Mount Pleasant, WI",'5. Summary'!A9)</x:f>
        <x:v>Douglas County</x:v>
      </x:c>
      <x:c r="B35" s="35" t="n">
        <x:f>IF(OR('5. Summary'!H9="",'5. Summary'!H9&lt;=0),"",IF('5. Summary'!E9="average",'1. Inputs &amp; Evidence'!F9/'1. Inputs &amp; Evidence'!K9,'1. Inputs &amp; Evidence'!H9/'1. Inputs &amp; Evidence'!K9))</x:f>
        <x:v>0.39772313296903455</x:v>
      </x:c>
      <x:c r="C35" s="35" t="n">
        <x:f>IF('5. Summary'!F9="","",'5. Summary'!F9)</x:f>
        <x:v>0.8261652780905201</x:v>
      </x:c>
      <x:c r="D35" s="76" t="n">
        <x:f>IF('5. Summary'!G9="","",'5. Summary'!G9)</x:f>
        <x:v>2.5</x:v>
      </x:c>
      <x:c r="E35" s="37" t="n">
        <x:f>IF('5. Summary'!I9="","",'5. Summary'!I9)</x:f>
        <x:v>0.8214626068809884</x:v>
      </x:c>
      <x:c r="F35" s="37" t="n">
        <x:f>IF('5. Summary'!J9="","",'5. Summary'!J9)</x:f>
        <x:v>0.9943078324225865</x:v>
      </x:c>
      <x:c r="G35" s="24" t="str">
        <x:f>A35</x:f>
        <x:v>Douglas County</x:v>
      </x:c>
      <x:c r="H35" s="24" t="n">
        <x:f>IF(D35="","",D35)</x:f>
        <x:v>2.5</x:v>
      </x:c>
      <x:c r="I35" s="32"/>
      <x:c r="J35" s="32"/>
      <x:c r="K35" s="32"/>
      <x:c r="L35" s="32"/>
      <x:c r="M35" s="32"/>
      <x:c r="N35" s="32"/>
      <x:c r="O35" s="32"/>
      <x:c r="P35" s="32"/>
      <x:c r="Q35" s="32"/>
      <x:c r="R35" s="32"/>
      <x:c r="S35" s="32"/>
      <x:c r="T35" s="32"/>
      <x:c r="U35" s="32"/>
      <x:c r="V35" s="32"/>
      <x:c r="W35" s="32"/>
      <x:c r="X35" s="32"/>
      <x:c r="Y35" s="32"/>
      <x:c r="Z35" s="32"/>
      <x:c r="AA35" s="32"/>
      <x:c r="AB35" s="32"/>
    </x:row>
    <x:row r="36">
      <x:c r="A36" s="25" t="str">
        <x:f>IF('5. Summary'!A10="Wisconsin site","Mount Pleasant, WI",'5. Summary'!A10)</x:f>
        <x:v>Mount Pleasant, WI</x:v>
      </x:c>
      <x:c r="B36" s="36" t="n">
        <x:f>IF(OR('5. Summary'!H10="",'5. Summary'!H10&lt;=0),"",IF('5. Summary'!E10="average",'1. Inputs &amp; Evidence'!F10/'1. Inputs &amp; Evidence'!K10,'1. Inputs &amp; Evidence'!H10/'1. Inputs &amp; Evidence'!K10))</x:f>
        <x:v>0.01755</x:v>
      </x:c>
      <x:c r="C36" s="36" t="n">
        <x:f>IF('5. Summary'!F10="","",'5. Summary'!F10)</x:f>
        <x:v>0.77</x:v>
      </x:c>
      <x:c r="D36" s="77" t="str">
        <x:f>IF('5. Summary'!G10="","",'5. Summary'!G10)</x:f>
      </x:c>
      <x:c r="E36" s="38" t="n">
        <x:f>IF('5. Summary'!I10="","",'5. Summary'!I10)</x:f>
        <x:v>0.013513500000000001</x:v>
      </x:c>
      <x:c r="F36" s="38" t="n">
        <x:f>IF('5. Summary'!J10="","",'5. Summary'!J10)</x:f>
        <x:v>0.01755</x:v>
      </x:c>
      <x:c r="G36" s="25" t="str">
        <x:f>A36</x:f>
        <x:v>Mount Pleasant, WI</x:v>
      </x:c>
      <x:c r="H36" s="25" t="str">
        <x:f>IF(D36="","",D36)</x:f>
      </x:c>
      <x:c r="I36" s="32"/>
      <x:c r="J36" s="32"/>
      <x:c r="K36" s="32"/>
      <x:c r="L36" s="32"/>
      <x:c r="M36" s="32"/>
      <x:c r="N36" s="32"/>
      <x:c r="O36" s="32"/>
      <x:c r="P36" s="32"/>
      <x:c r="Q36" s="32"/>
      <x:c r="R36" s="32"/>
      <x:c r="S36" s="32"/>
      <x:c r="T36" s="32"/>
      <x:c r="U36" s="32"/>
      <x:c r="V36" s="32"/>
      <x:c r="W36" s="32"/>
      <x:c r="X36" s="32"/>
      <x:c r="Y36" s="32"/>
      <x:c r="Z36" s="32"/>
      <x:c r="AA36" s="32"/>
      <x:c r="AB36" s="32"/>
    </x:row>
    <x:row r="37">
      <x:c r="A37" s="24" t="str">
        <x:f>IF('5. Summary'!A11="Wisconsin site","Mount Pleasant, WI",'5. Summary'!A11)</x:f>
        <x:v>Botetourt County</x:v>
      </x:c>
      <x:c r="B37" s="35" t="n">
        <x:f>IF(OR('5. Summary'!H11="",'5. Summary'!H11&lt;=0),"",IF('5. Summary'!E11="average",'1. Inputs &amp; Evidence'!F11/'1. Inputs &amp; Evidence'!K11,'1. Inputs &amp; Evidence'!H11/'1. Inputs &amp; Evidence'!K11))</x:f>
        <x:v>0.08333333333333333</x:v>
      </x:c>
      <x:c r="C37" s="35" t="n">
        <x:f>IF('5. Summary'!F11="","",'5. Summary'!F11)</x:f>
        <x:v>0.77</x:v>
      </x:c>
      <x:c r="D37" s="76" t="str">
        <x:f>IF('5. Summary'!G11="","",'5. Summary'!G11)</x:f>
      </x:c>
      <x:c r="E37" s="37" t="n">
        <x:f>IF('5. Summary'!I11="","",'5. Summary'!I11)</x:f>
        <x:v>0.06416666666666666</x:v>
      </x:c>
      <x:c r="F37" s="37" t="n">
        <x:f>IF('5. Summary'!J11="","",'5. Summary'!J11)</x:f>
        <x:v>0.08333333333333333</x:v>
      </x:c>
      <x:c r="G37" s="24" t="str">
        <x:f>A37</x:f>
        <x:v>Botetourt County</x:v>
      </x:c>
      <x:c r="H37" s="24" t="str">
        <x:f>IF(D37="","",D37)</x:f>
      </x:c>
      <x:c r="I37" s="32"/>
      <x:c r="J37" s="32"/>
      <x:c r="K37" s="32"/>
      <x:c r="L37" s="32"/>
      <x:c r="M37" s="32"/>
      <x:c r="N37" s="32"/>
      <x:c r="O37" s="32"/>
      <x:c r="P37" s="32"/>
      <x:c r="Q37" s="32"/>
      <x:c r="R37" s="32"/>
      <x:c r="S37" s="32"/>
      <x:c r="T37" s="32"/>
      <x:c r="U37" s="32"/>
      <x:c r="V37" s="32"/>
      <x:c r="W37" s="32"/>
      <x:c r="X37" s="32"/>
      <x:c r="Y37" s="32"/>
      <x:c r="Z37" s="32"/>
      <x:c r="AA37" s="32"/>
      <x:c r="AB37" s="32"/>
    </x:row>
    <x:row r="38">
      <x:c r="A38" s="25" t="str">
        <x:f>IF('5. Summary'!A12="Wisconsin site","Mount Pleasant, WI",'5. Summary'!A12)</x:f>
        <x:v>Memphis</x:v>
      </x:c>
      <x:c r="B38" s="36" t="n">
        <x:f>IF(OR('5. Summary'!H12="",'5. Summary'!H12&lt;=0),"",IF('5. Summary'!E12="average",'1. Inputs &amp; Evidence'!F12/'1. Inputs &amp; Evidence'!K12,'1. Inputs &amp; Evidence'!H12/'1. Inputs &amp; Evidence'!K12))</x:f>
        <x:v>0.03333333333333333</x:v>
      </x:c>
      <x:c r="C38" s="36" t="n">
        <x:f>IF('5. Summary'!F12="","",'5. Summary'!F12)</x:f>
        <x:v>0.77</x:v>
      </x:c>
      <x:c r="D38" s="77" t="str">
        <x:f>IF('5. Summary'!G12="","",'5. Summary'!G12)</x:f>
      </x:c>
      <x:c r="E38" s="38" t="n">
        <x:f>IF('5. Summary'!I12="","",'5. Summary'!I12)</x:f>
        <x:v>0.025666666666666667</x:v>
      </x:c>
      <x:c r="F38" s="38" t="n">
        <x:f>IF('5. Summary'!J12="","",'5. Summary'!J12)</x:f>
        <x:v>0.03333333333333333</x:v>
      </x:c>
      <x:c r="G38" s="25" t="str">
        <x:f>A38</x:f>
        <x:v>Memphis</x:v>
      </x:c>
      <x:c r="H38" s="25" t="str">
        <x:f>IF(D38="","",D38)</x:f>
      </x:c>
      <x:c r="I38" s="32"/>
      <x:c r="J38" s="32"/>
      <x:c r="K38" s="32"/>
      <x:c r="L38" s="32"/>
      <x:c r="M38" s="32"/>
      <x:c r="N38" s="32"/>
      <x:c r="O38" s="32"/>
      <x:c r="P38" s="32"/>
      <x:c r="Q38" s="32"/>
      <x:c r="R38" s="32"/>
      <x:c r="S38" s="32"/>
      <x:c r="T38" s="32"/>
      <x:c r="U38" s="32"/>
      <x:c r="V38" s="32"/>
      <x:c r="W38" s="32"/>
      <x:c r="X38" s="32"/>
      <x:c r="Y38" s="32"/>
      <x:c r="Z38" s="32"/>
      <x:c r="AA38" s="32"/>
      <x:c r="AB38" s="32"/>
    </x:row>
    <x:row r="39">
      <x:c r="A39" s="24" t="str">
        <x:f>IF('5. Summary'!A13="Wisconsin site","Mount Pleasant, WI",'5. Summary'!A13)</x:f>
        <x:v>Midlothian</x:v>
      </x:c>
      <x:c r="B39" s="35" t="n">
        <x:f>IF(OR('5. Summary'!H13="",'5. Summary'!H13&lt;=0),"",IF('5. Summary'!E13="average",'1. Inputs &amp; Evidence'!F13/'1. Inputs &amp; Evidence'!K13,'1. Inputs &amp; Evidence'!H13/'1. Inputs &amp; Evidence'!K13))</x:f>
        <x:v>0.016772920461445052</x:v>
      </x:c>
      <x:c r="C39" s="35" t="n">
        <x:f>IF('5. Summary'!F13="","",'5. Summary'!F13)</x:f>
        <x:v>0.8248868778280544</x:v>
      </x:c>
      <x:c r="D39" s="76" t="n">
        <x:f>IF('5. Summary'!G13="","",'5. Summary'!G13)</x:f>
        <x:v>2.5</x:v>
      </x:c>
      <x:c r="E39" s="37" t="n">
        <x:f>IF('5. Summary'!I13="","",'5. Summary'!I13)</x:f>
        <x:v>0.034589404978749246</x:v>
      </x:c>
      <x:c r="F39" s="37" t="n">
        <x:f>IF('5. Summary'!J13="","",'5. Summary'!J13)</x:f>
        <x:v>0.04193230115361263</x:v>
      </x:c>
      <x:c r="G39" s="24" t="str">
        <x:f>A39</x:f>
        <x:v>Midlothian</x:v>
      </x:c>
      <x:c r="H39" s="24" t="n">
        <x:f>IF(D39="","",D39)</x:f>
        <x:v>2.5</x:v>
      </x:c>
      <x:c r="I39" s="32"/>
      <x:c r="J39" s="32"/>
      <x:c r="K39" s="32"/>
      <x:c r="L39" s="32"/>
      <x:c r="M39" s="32"/>
      <x:c r="N39" s="32"/>
      <x:c r="O39" s="32"/>
      <x:c r="P39" s="32"/>
      <x:c r="Q39" s="32"/>
      <x:c r="R39" s="32"/>
      <x:c r="S39" s="32"/>
      <x:c r="T39" s="32"/>
      <x:c r="U39" s="32"/>
      <x:c r="V39" s="32"/>
      <x:c r="W39" s="32"/>
      <x:c r="X39" s="32"/>
      <x:c r="Y39" s="32"/>
      <x:c r="Z39" s="32"/>
      <x:c r="AA39" s="32"/>
      <x:c r="AB39" s="32"/>
    </x:row>
    <x:row r="40">
      <x:c r="A40" s="25" t="str">
        <x:f>IF('5. Summary'!A14="Wisconsin site","Mount Pleasant, WI",'5. Summary'!A14)</x:f>
        <x:v>Henderson</x:v>
      </x:c>
      <x:c r="B40" s="36" t="n">
        <x:f>IF(OR('5. Summary'!H14="",'5. Summary'!H14&lt;=0),"",IF('5. Summary'!E14="average",'1. Inputs &amp; Evidence'!F14/'1. Inputs &amp; Evidence'!K14,'1. Inputs &amp; Evidence'!H14/'1. Inputs &amp; Evidence'!K14))</x:f>
        <x:v>0.0010925925925925925</x:v>
      </x:c>
      <x:c r="C40" s="36" t="n">
        <x:f>IF('5. Summary'!F14="","",'5. Summary'!F14)</x:f>
        <x:v>0.576271186440678</x:v>
      </x:c>
      <x:c r="D40" s="77" t="n">
        <x:f>IF('5. Summary'!G14="","",'5. Summary'!G14)</x:f>
        <x:v>2.5</x:v>
      </x:c>
      <x:c r="E40" s="38" t="n">
        <x:f>IF('5. Summary'!I14="","",'5. Summary'!I14)</x:f>
        <x:v>0.0015740740740740739</x:v>
      </x:c>
      <x:c r="F40" s="38" t="n">
        <x:f>IF('5. Summary'!J14="","",'5. Summary'!J14)</x:f>
        <x:v>0.002731481481481481</x:v>
      </x:c>
      <x:c r="G40" s="25" t="str">
        <x:f>A40</x:f>
        <x:v>Henderson</x:v>
      </x:c>
      <x:c r="H40" s="25" t="n">
        <x:f>IF(D40="","",D40)</x:f>
        <x:v>2.5</x:v>
      </x:c>
      <x:c r="I40" s="32"/>
      <x:c r="J40" s="32"/>
      <x:c r="K40" s="32"/>
      <x:c r="L40" s="32"/>
      <x:c r="M40" s="32"/>
      <x:c r="N40" s="32"/>
      <x:c r="O40" s="32"/>
      <x:c r="P40" s="32"/>
      <x:c r="Q40" s="32"/>
      <x:c r="R40" s="32"/>
      <x:c r="S40" s="32"/>
      <x:c r="T40" s="32"/>
      <x:c r="U40" s="32"/>
      <x:c r="V40" s="32"/>
      <x:c r="W40" s="32"/>
      <x:c r="X40" s="32"/>
      <x:c r="Y40" s="32"/>
      <x:c r="Z40" s="32"/>
      <x:c r="AA40" s="32"/>
      <x:c r="AB40" s="32"/>
    </x:row>
    <x:row r="4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2"/>
      <x:c r="Y41" s="32"/>
      <x:c r="Z41" s="32"/>
      <x:c r="AA41" s="32"/>
      <x:c r="AB41" s="32"/>
    </x:row>
    <x:row r="42">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2"/>
      <x:c r="Y42" s="32"/>
      <x:c r="Z42" s="32"/>
      <x:c r="AA42" s="32"/>
      <x:c r="AB42" s="32"/>
    </x:row>
    <x:row r="43">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2"/>
      <x:c r="Y43" s="32"/>
      <x:c r="Z43" s="32"/>
      <x:c r="AA43" s="32"/>
      <x:c r="AB43" s="32"/>
    </x:row>
    <x:row r="44" ht="20" customHeight="1">
      <x:c r="A44" s="12" t="str">
        <x:v>Supplementary Figure S2 — Parameter-range uncertainty</x:v>
      </x:c>
      <x:c r="B44" s="13" t="str">
        <x:v>Supplementary Figure S2 — Parameter-range uncertainty</x:v>
      </x:c>
      <x:c r="C44" s="13" t="str">
        <x:v>Supplementary Figure S2 — Parameter-range uncertainty</x:v>
      </x:c>
      <x:c r="D44" s="13" t="str">
        <x:v>Supplementary Figure S2 — Parameter-range uncertainty</x:v>
      </x:c>
      <x:c r="E44" s="13" t="str">
        <x:v>Supplementary Figure S2 — Parameter-range uncertainty</x:v>
      </x:c>
      <x:c r="F44" s="13" t="str">
        <x:v>Supplementary Figure S2 — Parameter-range uncertainty</x:v>
      </x:c>
      <x:c r="G44" s="13" t="str">
        <x:v>Supplementary Figure S2 — Parameter-range uncertainty</x:v>
      </x:c>
      <x:c r="H44" s="13" t="str">
        <x:v>Supplementary Figure S2 — Parameter-range uncertainty</x:v>
      </x:c>
      <x:c r="I44" s="13" t="str">
        <x:v>Supplementary Figure S2 — Parameter-range uncertainty</x:v>
      </x:c>
      <x:c r="J44" s="13" t="str">
        <x:v>Supplementary Figure S2 — Parameter-range uncertainty</x:v>
      </x:c>
      <x:c r="K44" s="14" t="str">
        <x:v>Supplementary Figure S2 — Parameter-range uncertainty</x:v>
      </x:c>
      <x:c r="L44" s="32"/>
      <x:c r="M44" s="32"/>
      <x:c r="N44" s="32"/>
      <x:c r="O44" s="32"/>
      <x:c r="P44" s="32"/>
      <x:c r="Q44" s="32"/>
      <x:c r="R44" s="32"/>
      <x:c r="S44" s="32"/>
      <x:c r="T44" s="32"/>
      <x:c r="U44" s="32"/>
      <x:c r="V44" s="32"/>
      <x:c r="W44" s="32"/>
      <x:c r="X44" s="32"/>
      <x:c r="Y44" s="32"/>
      <x:c r="Z44" s="32"/>
      <x:c r="AA44" s="32"/>
      <x:c r="AB44" s="32"/>
    </x:row>
    <x:row r="45">
      <x:c r="A45" s="21" t="str">
        <x:v>Site</x:v>
      </x:c>
      <x:c r="B45" s="21" t="str">
        <x:v>WCI low</x:v>
      </x:c>
      <x:c r="C45" s="21" t="str">
        <x:v>WCI central</x:v>
      </x:c>
      <x:c r="D45" s="21" t="str">
        <x:v>WCI high</x:v>
      </x:c>
      <x:c r="E45" s="21" t="str">
        <x:v>PDLR low</x:v>
      </x:c>
      <x:c r="F45" s="21" t="str">
        <x:v>PDLR central</x:v>
      </x:c>
      <x:c r="G45" s="21" t="str">
        <x:v>PDLR high</x:v>
      </x:c>
      <x:c r="H45" s="21" t="str">
        <x:v>Site (PDLR)</x:v>
      </x:c>
      <x:c r="I45" s="21" t="str">
        <x:v>PDLR low</x:v>
      </x:c>
      <x:c r="J45" s="21" t="str">
        <x:v>PDLR central</x:v>
      </x:c>
      <x:c r="K45" s="21" t="str">
        <x:v>PDLR high</x:v>
      </x:c>
      <x:c r="L45" s="32"/>
      <x:c r="M45" s="32"/>
      <x:c r="N45" s="32"/>
      <x:c r="O45" s="32"/>
      <x:c r="P45" s="32"/>
      <x:c r="Q45" s="32"/>
      <x:c r="R45" s="32"/>
      <x:c r="S45" s="32"/>
      <x:c r="T45" s="32"/>
      <x:c r="U45" s="32"/>
      <x:c r="V45" s="32"/>
      <x:c r="W45" s="32"/>
      <x:c r="X45" s="32"/>
      <x:c r="Y45" s="32"/>
      <x:c r="Z45" s="32"/>
      <x:c r="AA45" s="32"/>
      <x:c r="AB45" s="32"/>
    </x:row>
    <x:row r="46">
      <x:c r="A46" s="24" t="str">
        <x:f>IF('4. Scenarios &amp; Uncertainty'!A23="Wisconsin site","Mount Pleasant, WI",'4. Scenarios &amp; Uncertainty'!A23)</x:f>
        <x:v>Mayes County</x:v>
      </x:c>
      <x:c r="B46" s="37" t="n">
        <x:f>'4. Scenarios &amp; Uncertainty'!H23</x:f>
        <x:v>0.0910601092896175</x:v>
      </x:c>
      <x:c r="C46" s="37" t="n">
        <x:f>'4. Scenarios &amp; Uncertainty'!I23</x:f>
        <x:v>0.11382513661202187</x:v>
      </x:c>
      <x:c r="D46" s="37" t="n">
        <x:f>'4. Scenarios &amp; Uncertainty'!J23</x:f>
        <x:v>0.182120218579235</x:v>
      </x:c>
      <x:c r="E46" s="37" t="n">
        <x:f>'4. Scenarios &amp; Uncertainty'!K23</x:f>
        <x:v>0.12112568306010929</x:v>
      </x:c>
      <x:c r="F46" s="37" t="n">
        <x:f>'4. Scenarios &amp; Uncertainty'!L23</x:f>
        <x:v>0.1514071038251366</x:v>
      </x:c>
      <x:c r="G46" s="37" t="n">
        <x:f>'4. Scenarios &amp; Uncertainty'!M23</x:f>
        <x:v>0.24225136612021858</x:v>
      </x:c>
      <x:c r="H46" s="24" t="str">
        <x:f>A46</x:f>
        <x:v>Mayes County</x:v>
      </x:c>
      <x:c r="I46" s="24" t="n">
        <x:f>E46</x:f>
        <x:v>0.12112568306010929</x:v>
      </x:c>
      <x:c r="J46" s="24" t="n">
        <x:f>F46</x:f>
        <x:v>0.1514071038251366</x:v>
      </x:c>
      <x:c r="K46" s="24" t="n">
        <x:f>G46</x:f>
        <x:v>0.24225136612021858</x:v>
      </x:c>
      <x:c r="L46" s="32"/>
      <x:c r="M46" s="32"/>
      <x:c r="N46" s="32"/>
      <x:c r="O46" s="32"/>
      <x:c r="P46" s="32"/>
      <x:c r="Q46" s="32"/>
      <x:c r="R46" s="32"/>
      <x:c r="S46" s="32"/>
      <x:c r="T46" s="32"/>
      <x:c r="U46" s="32"/>
      <x:c r="V46" s="32"/>
      <x:c r="W46" s="32"/>
      <x:c r="X46" s="32"/>
      <x:c r="Y46" s="32"/>
      <x:c r="Z46" s="32"/>
      <x:c r="AA46" s="32"/>
      <x:c r="AB46" s="32"/>
    </x:row>
    <x:row r="47">
      <x:c r="A47" s="25" t="str">
        <x:f>IF('4. Scenarios &amp; Uncertainty'!A24="Wisconsin site","Mount Pleasant, WI",'4. Scenarios &amp; Uncertainty'!A24)</x:f>
        <x:v>Botetourt County</x:v>
      </x:c>
      <x:c r="B47" s="38" t="n">
        <x:f>'4. Scenarios &amp; Uncertainty'!H24</x:f>
        <x:v>0.05833333333333333</x:v>
      </x:c>
      <x:c r="C47" s="38" t="n">
        <x:f>'4. Scenarios &amp; Uncertainty'!I24</x:f>
        <x:v>0.06416666666666666</x:v>
      </x:c>
      <x:c r="D47" s="38" t="n">
        <x:f>'4. Scenarios &amp; Uncertainty'!J24</x:f>
        <x:v>0.075</x:v>
      </x:c>
      <x:c r="E47" s="38" t="n">
        <x:f>'4. Scenarios &amp; Uncertainty'!K24</x:f>
        <x:v>0.08333333333333333</x:v>
      </x:c>
      <x:c r="F47" s="38" t="n">
        <x:f>'4. Scenarios &amp; Uncertainty'!L24</x:f>
        <x:v>0.08333333333333333</x:v>
      </x:c>
      <x:c r="G47" s="38" t="n">
        <x:f>'4. Scenarios &amp; Uncertainty'!M24</x:f>
        <x:v>0.08333333333333333</x:v>
      </x:c>
      <x:c r="H47" s="25" t="str">
        <x:f>A47</x:f>
        <x:v>Botetourt County</x:v>
      </x:c>
      <x:c r="I47" s="25" t="n">
        <x:f>E47</x:f>
        <x:v>0.08333333333333333</x:v>
      </x:c>
      <x:c r="J47" s="25" t="n">
        <x:f>F47</x:f>
        <x:v>0.08333333333333333</x:v>
      </x:c>
      <x:c r="K47" s="25" t="n">
        <x:f>G47</x:f>
        <x:v>0.08333333333333333</x:v>
      </x:c>
      <x:c r="L47" s="32"/>
      <x:c r="M47" s="32"/>
      <x:c r="N47" s="32"/>
      <x:c r="O47" s="32"/>
      <x:c r="P47" s="32"/>
      <x:c r="Q47" s="32"/>
      <x:c r="R47" s="32"/>
      <x:c r="S47" s="32"/>
      <x:c r="T47" s="32"/>
      <x:c r="U47" s="32"/>
      <x:c r="V47" s="32"/>
      <x:c r="W47" s="32"/>
      <x:c r="X47" s="32"/>
      <x:c r="Y47" s="32"/>
      <x:c r="Z47" s="32"/>
      <x:c r="AA47" s="32"/>
      <x:c r="AB47" s="32"/>
    </x:row>
    <x:row r="48">
      <x:c r="A48" s="24" t="str">
        <x:f>IF('4. Scenarios &amp; Uncertainty'!A25="Wisconsin site","Mount Pleasant, WI",'4. Scenarios &amp; Uncertainty'!A25)</x:f>
        <x:v>Midlothian</x:v>
      </x:c>
      <x:c r="B48" s="37" t="n">
        <x:f>'4. Scenarios &amp; Uncertainty'!H25</x:f>
        <x:v>0.027671523982999397</x:v>
      </x:c>
      <x:c r="C48" s="37" t="n">
        <x:f>'4. Scenarios &amp; Uncertainty'!I25</x:f>
        <x:v>0.034589404978749246</x:v>
      </x:c>
      <x:c r="D48" s="37" t="n">
        <x:f>'4. Scenarios &amp; Uncertainty'!J25</x:f>
        <x:v>0.055343047965998794</x:v>
      </x:c>
      <x:c r="E48" s="37" t="n">
        <x:f>'4. Scenarios &amp; Uncertainty'!K25</x:f>
        <x:v>0.033545840922890105</x:v>
      </x:c>
      <x:c r="F48" s="37" t="n">
        <x:f>'4. Scenarios &amp; Uncertainty'!L25</x:f>
        <x:v>0.04193230115361263</x:v>
      </x:c>
      <x:c r="G48" s="37" t="n">
        <x:f>'4. Scenarios &amp; Uncertainty'!M25</x:f>
        <x:v>0.06709168184578021</x:v>
      </x:c>
      <x:c r="H48" s="24" t="str">
        <x:f>A48</x:f>
        <x:v>Midlothian</x:v>
      </x:c>
      <x:c r="I48" s="24" t="n">
        <x:f>E48</x:f>
        <x:v>0.033545840922890105</x:v>
      </x:c>
      <x:c r="J48" s="24" t="n">
        <x:f>F48</x:f>
        <x:v>0.04193230115361263</x:v>
      </x:c>
      <x:c r="K48" s="24" t="n">
        <x:f>G48</x:f>
        <x:v>0.06709168184578021</x:v>
      </x:c>
      <x:c r="L48" s="32"/>
      <x:c r="M48" s="32"/>
      <x:c r="N48" s="32"/>
      <x:c r="O48" s="32"/>
      <x:c r="P48" s="32"/>
      <x:c r="Q48" s="32"/>
      <x:c r="R48" s="32"/>
      <x:c r="S48" s="32"/>
      <x:c r="T48" s="32"/>
      <x:c r="U48" s="32"/>
      <x:c r="V48" s="32"/>
      <x:c r="W48" s="32"/>
      <x:c r="X48" s="32"/>
      <x:c r="Y48" s="32"/>
      <x:c r="Z48" s="32"/>
      <x:c r="AA48" s="32"/>
      <x:c r="AB48" s="32"/>
    </x:row>
    <x:row r="49">
      <x:c r="A49" s="25" t="str">
        <x:f>IF('4. Scenarios &amp; Uncertainty'!A26="Wisconsin site","Mount Pleasant, WI",'4. Scenarios &amp; Uncertainty'!A26)</x:f>
        <x:v>Henderson</x:v>
      </x:c>
      <x:c r="B49" s="38" t="n">
        <x:f>'4. Scenarios &amp; Uncertainty'!H26</x:f>
        <x:v>0.001259259259259259</x:v>
      </x:c>
      <x:c r="C49" s="38" t="n">
        <x:f>'4. Scenarios &amp; Uncertainty'!I26</x:f>
        <x:v>0.0015740740740740739</x:v>
      </x:c>
      <x:c r="D49" s="38" t="n">
        <x:f>'4. Scenarios &amp; Uncertainty'!J26</x:f>
        <x:v>0.002518518518518518</x:v>
      </x:c>
      <x:c r="E49" s="38" t="n">
        <x:f>'4. Scenarios &amp; Uncertainty'!K26</x:f>
        <x:v>0.002185185185185185</x:v>
      </x:c>
      <x:c r="F49" s="38" t="n">
        <x:f>'4. Scenarios &amp; Uncertainty'!L26</x:f>
        <x:v>0.002731481481481481</x:v>
      </x:c>
      <x:c r="G49" s="38" t="n">
        <x:f>'4. Scenarios &amp; Uncertainty'!M26</x:f>
        <x:v>0.00437037037037037</x:v>
      </x:c>
      <x:c r="H49" s="25" t="str">
        <x:f>A49</x:f>
        <x:v>Henderson</x:v>
      </x:c>
      <x:c r="I49" s="25" t="n">
        <x:f>E49</x:f>
        <x:v>0.002185185185185185</x:v>
      </x:c>
      <x:c r="J49" s="25" t="n">
        <x:f>F49</x:f>
        <x:v>0.002731481481481481</x:v>
      </x:c>
      <x:c r="K49" s="25" t="n">
        <x:f>G49</x:f>
        <x:v>0.00437037037037037</x:v>
      </x:c>
      <x:c r="L49" s="32"/>
      <x:c r="M49" s="32"/>
      <x:c r="N49" s="32"/>
      <x:c r="O49" s="32"/>
      <x:c r="P49" s="32"/>
      <x:c r="Q49" s="32"/>
      <x:c r="R49" s="32"/>
      <x:c r="S49" s="32"/>
      <x:c r="T49" s="32"/>
      <x:c r="U49" s="32"/>
      <x:c r="V49" s="32"/>
      <x:c r="W49" s="32"/>
      <x:c r="X49" s="32"/>
      <x:c r="Y49" s="32"/>
      <x:c r="Z49" s="32"/>
      <x:c r="AA49" s="32"/>
      <x:c r="AB49" s="32"/>
    </x:row>
    <x:row r="50">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2"/>
      <x:c r="Y50" s="32"/>
      <x:c r="Z50" s="32"/>
      <x:c r="AA50" s="32"/>
      <x:c r="AB50" s="32"/>
    </x:row>
    <x:row r="5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2"/>
      <x:c r="Y51" s="32"/>
      <x:c r="Z51" s="32"/>
      <x:c r="AA51" s="32"/>
      <x:c r="AB51" s="32"/>
    </x:row>
    <x:row r="52">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2"/>
      <x:c r="Y52" s="32"/>
      <x:c r="Z52" s="32"/>
      <x:c r="AA52" s="32"/>
      <x:c r="AB52" s="32"/>
    </x:row>
    <x:row r="53">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2"/>
      <x:c r="Y53" s="32"/>
      <x:c r="Z53" s="32"/>
      <x:c r="AA53" s="32"/>
      <x:c r="AB53" s="32"/>
    </x:row>
    <x:row r="54">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2"/>
      <x:c r="Y54" s="32"/>
      <x:c r="Z54" s="32"/>
      <x:c r="AA54" s="32"/>
      <x:c r="AB54" s="32"/>
    </x:row>
    <x:row r="55">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2"/>
      <x:c r="Y55" s="32"/>
      <x:c r="Z55" s="32"/>
      <x:c r="AA55" s="32"/>
      <x:c r="AB55" s="32"/>
    </x:row>
    <x:row r="56">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2"/>
      <x:c r="Y56" s="32"/>
      <x:c r="Z56" s="32"/>
      <x:c r="AA56" s="32"/>
      <x:c r="AB56" s="32"/>
    </x:row>
    <x:row r="57">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2"/>
      <x:c r="Y57" s="32"/>
      <x:c r="Z57" s="32"/>
      <x:c r="AA57" s="32"/>
      <x:c r="AB57" s="32"/>
    </x:row>
    <x:row r="58">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2"/>
      <x:c r="Y58" s="32"/>
      <x:c r="Z58" s="32"/>
      <x:c r="AA58" s="32"/>
      <x:c r="AB58" s="32"/>
    </x:row>
    <x:row r="59">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2"/>
      <x:c r="Y59" s="32"/>
      <x:c r="Z59" s="32"/>
      <x:c r="AA59" s="32"/>
      <x:c r="AB59" s="32"/>
    </x:row>
    <x:row r="60">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2"/>
      <x:c r="Y60" s="32"/>
      <x:c r="Z60" s="32"/>
      <x:c r="AA60" s="32"/>
      <x:c r="AB60" s="32"/>
    </x:row>
    <x:row r="6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2"/>
      <x:c r="Y61" s="32"/>
      <x:c r="Z61" s="32"/>
      <x:c r="AA61" s="32"/>
      <x:c r="AB61" s="32"/>
    </x:row>
    <x:row r="62">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2"/>
      <x:c r="Y62" s="32"/>
      <x:c r="Z62" s="32"/>
      <x:c r="AA62" s="32"/>
      <x:c r="AB62" s="32"/>
    </x:row>
    <x:row r="63">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2"/>
      <x:c r="Y63" s="32"/>
      <x:c r="Z63" s="32"/>
      <x:c r="AA63" s="32"/>
      <x:c r="AB63" s="32"/>
    </x:row>
    <x:row r="64">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2"/>
      <x:c r="Y64" s="32"/>
      <x:c r="Z64" s="32"/>
      <x:c r="AA64" s="32"/>
      <x:c r="AB64" s="32"/>
    </x:row>
    <x:row r="65">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2"/>
      <x:c r="Y65" s="32"/>
      <x:c r="Z65" s="32"/>
      <x:c r="AA65" s="32"/>
      <x:c r="AB65" s="32"/>
    </x:row>
    <x:row r="66">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2"/>
      <x:c r="Y66" s="32"/>
      <x:c r="Z66" s="32"/>
      <x:c r="AA66" s="32"/>
      <x:c r="AB66" s="32"/>
    </x:row>
  </x:sheetData>
  <x:mergeCells>
    <x:mergeCell ref="A1:AB1"/>
    <x:mergeCell ref="A2:AB2"/>
    <x:mergeCell ref="A4:E4"/>
    <x:mergeCell ref="A18:I18"/>
    <x:mergeCell ref="A29:H29"/>
    <x:mergeCell ref="A44:K44"/>
  </x:mergeCells>
  <x:pageMargins left="0.7" right="0.7" top="0.75" bottom="0.75" header="0.3" footer="0.3"/>
  <x:drawing xmlns:r="http://schemas.openxmlformats.org/officeDocument/2006/relationships" r:id="Rfd1ca55da8a94e99"/>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 hidden="0" customWidth="1"/>
    <x:col min="2" max="2" width="48" hidden="0" customWidth="1"/>
    <x:col min="3" max="3" width="12" hidden="0" customWidth="1"/>
    <x:col min="4" max="4" width="20" hidden="0" customWidth="1"/>
    <x:col min="5" max="5" width="15" hidden="0" customWidth="1"/>
    <x:col min="6" max="6" width="15" hidden="0" customWidth="1"/>
    <x:col min="7" max="7" width="15" hidden="0" customWidth="1"/>
    <x:col min="8" max="8" width="13" hidden="0" customWidth="1"/>
    <x:col min="9" max="9" width="11" hidden="0" customWidth="1"/>
    <x:col min="10" max="10" width="3" hidden="0" customWidth="1"/>
    <x:col min="11" max="11" width="24" hidden="0" customWidth="1"/>
    <x:col min="12" max="12" width="30" hidden="0" customWidth="1"/>
    <x:col min="13" max="13" width="12" hidden="0" customWidth="1"/>
    <x:col min="14" max="14" width="10" hidden="0" customWidth="1"/>
    <x:col min="15" max="15" width="10" hidden="0" customWidth="1"/>
    <x:col min="16" max="16" width="11" hidden="0" customWidth="1"/>
    <x:col min="17" max="17" width="14" hidden="0" customWidth="1"/>
    <x:col min="18" max="18" width="15" hidden="0" customWidth="1"/>
    <x:col min="19" max="19" width="13" hidden="0" customWidth="1"/>
    <x:col min="20" max="20" width="11" hidden="0" customWidth="1"/>
    <x:col min="21" max="21" width="11" hidden="0" customWidth="1"/>
    <x:col min="22" max="22" width="14" hidden="0" customWidth="1"/>
    <x:col min="23" max="23" width="14" hidden="0" customWidth="1"/>
    <x:col min="24" max="24" width="13" hidden="0" customWidth="1"/>
    <x:col min="25" max="25" width="34" hidden="0" customWidth="1"/>
    <x:col min="26" max="26" width="11" hidden="0" customWidth="1"/>
  </x:cols>
  <x:sheetData>
    <x:row r="1" ht="25" customHeight="1">
      <x:c r="A1" s="3" t="str">
        <x:v>Validation, Analytical Sensitivity, and Synthetic Tests</x:v>
      </x:c>
      <x:c r="B1" s="3"/>
      <x:c r="C1" s="3"/>
      <x:c r="D1" s="3"/>
      <x:c r="E1" s="3"/>
      <x:c r="F1" s="3"/>
      <x:c r="G1" s="3"/>
      <x:c r="H1" s="3"/>
      <x:c r="I1" s="3"/>
      <x:c r="J1" s="3"/>
      <x:c r="K1" s="3"/>
      <x:c r="L1" s="3"/>
      <x:c r="M1" s="3"/>
      <x:c r="N1" s="3"/>
      <x:c r="O1" s="3"/>
      <x:c r="P1" s="3"/>
      <x:c r="Q1" s="3"/>
      <x:c r="R1" s="3"/>
      <x:c r="S1" s="3"/>
      <x:c r="T1" s="3"/>
      <x:c r="U1" s="3"/>
      <x:c r="V1" s="3"/>
      <x:c r="W1" s="3"/>
      <x:c r="X1" s="3"/>
      <x:c r="Y1" s="3"/>
      <x:c r="Z1" s="3"/>
    </x:row>
    <x:row r="2" ht="21" customHeight="1">
      <x:c r="A2" s="6" t="str">
        <x:v>Formula-driven workbook checks matching the central repository model and test design.</x:v>
      </x:c>
      <x:c r="B2" s="6"/>
      <x:c r="C2" s="6"/>
      <x:c r="D2" s="6"/>
      <x:c r="E2" s="6"/>
      <x:c r="F2" s="6"/>
      <x:c r="G2" s="6"/>
      <x:c r="H2" s="6"/>
      <x:c r="I2" s="6"/>
      <x:c r="J2" s="6"/>
      <x:c r="K2" s="6"/>
      <x:c r="L2" s="6"/>
      <x:c r="M2" s="6"/>
      <x:c r="N2" s="6"/>
      <x:c r="O2" s="6"/>
      <x:c r="P2" s="6"/>
      <x:c r="Q2" s="6"/>
      <x:c r="R2" s="6"/>
      <x:c r="S2" s="6"/>
      <x:c r="T2" s="6"/>
      <x:c r="U2" s="6"/>
      <x:c r="V2" s="6"/>
      <x:c r="W2" s="6"/>
      <x:c r="X2" s="6"/>
      <x:c r="Y2" s="6"/>
      <x:c r="Z2" s="6"/>
    </x:row>
    <x:row r="3">
      <x:c r="A3" s="32"/>
      <x:c r="B3" s="32"/>
      <x:c r="C3" s="32"/>
      <x:c r="D3" s="32"/>
      <x:c r="E3" s="32"/>
      <x:c r="F3" s="32"/>
      <x:c r="G3" s="32"/>
      <x:c r="H3" s="32"/>
      <x:c r="I3" s="32"/>
      <x:c r="J3" s="32"/>
      <x:c r="K3" s="32"/>
      <x:c r="L3" s="32"/>
      <x:c r="M3" s="32"/>
      <x:c r="N3" s="32"/>
      <x:c r="O3" s="32"/>
      <x:c r="P3" s="32"/>
      <x:c r="Q3" s="32"/>
      <x:c r="R3" s="32"/>
      <x:c r="S3" s="32"/>
      <x:c r="T3" s="32"/>
      <x:c r="U3" s="32"/>
      <x:c r="V3" s="32"/>
      <x:c r="W3" s="32"/>
      <x:c r="X3" s="32"/>
      <x:c r="Y3" s="32"/>
      <x:c r="Z3" s="32"/>
    </x:row>
    <x:row r="4" ht="20" customHeight="1">
      <x:c r="A4" s="12" t="str">
        <x:v>Workbook validation checks</x:v>
      </x:c>
      <x:c r="B4" s="13" t="str">
        <x:v>Workbook validation checks</x:v>
      </x:c>
      <x:c r="C4" s="13" t="str">
        <x:v>Workbook validation checks</x:v>
      </x:c>
      <x:c r="D4" s="13" t="str">
        <x:v>Workbook validation checks</x:v>
      </x:c>
      <x:c r="E4" s="13" t="str">
        <x:v>Workbook validation checks</x:v>
      </x:c>
      <x:c r="F4" s="13" t="str">
        <x:v>Workbook validation checks</x:v>
      </x:c>
      <x:c r="G4" s="13" t="str">
        <x:v>Workbook validation checks</x:v>
      </x:c>
      <x:c r="H4" s="13" t="str">
        <x:v>Workbook validation checks</x:v>
      </x:c>
      <x:c r="I4" s="13" t="str">
        <x:v>Workbook validation checks</x:v>
      </x:c>
      <x:c r="J4" s="14" t="str">
        <x:v>Workbook validation checks</x:v>
      </x:c>
      <x:c r="K4" s="32"/>
      <x:c r="L4" s="32"/>
      <x:c r="M4" s="32"/>
      <x:c r="N4" s="32"/>
      <x:c r="O4" s="32"/>
      <x:c r="P4" s="32"/>
      <x:c r="Q4" s="32"/>
      <x:c r="R4" s="32"/>
      <x:c r="S4" s="32"/>
      <x:c r="T4" s="32"/>
      <x:c r="U4" s="32"/>
      <x:c r="V4" s="32"/>
      <x:c r="W4" s="32"/>
      <x:c r="X4" s="32"/>
      <x:c r="Y4" s="32"/>
      <x:c r="Z4" s="32"/>
    </x:row>
    <x:row r="5">
      <x:c r="A5" s="21" t="str">
        <x:v>Test ID</x:v>
      </x:c>
      <x:c r="B5" s="21" t="str">
        <x:v>Description</x:v>
      </x:c>
      <x:c r="C5" s="21" t="str">
        <x:v>Status</x:v>
      </x:c>
      <x:c r="D5" s="21" t="str">
        <x:v>Observed</x:v>
      </x:c>
      <x:c r="E5" s="32"/>
      <x:c r="F5" s="32"/>
      <x:c r="G5" s="32"/>
      <x:c r="H5" s="32"/>
      <x:c r="I5" s="32"/>
      <x:c r="J5" s="32"/>
      <x:c r="K5" s="32"/>
      <x:c r="L5" s="32"/>
      <x:c r="M5" s="32"/>
      <x:c r="N5" s="32"/>
      <x:c r="O5" s="32"/>
      <x:c r="P5" s="32"/>
      <x:c r="Q5" s="32"/>
      <x:c r="R5" s="32"/>
      <x:c r="S5" s="32"/>
      <x:c r="T5" s="32"/>
      <x:c r="U5" s="32"/>
      <x:c r="V5" s="32"/>
      <x:c r="W5" s="32"/>
      <x:c r="X5" s="32"/>
      <x:c r="Y5" s="32"/>
      <x:c r="Z5" s="32"/>
    </x:row>
    <x:row r="6" ht="28" customHeight="1">
      <x:c r="A6" s="24" t="str">
        <x:v>ten_site_anchor_coverage</x:v>
      </x:c>
      <x:c r="B6" s="28" t="str">
        <x:v>Exactly ten positive primary numerical anchors</x:v>
      </x:c>
      <x:c r="C6" s="28" t="str">
        <x:f>IF(COUNTIF('2. WCI &amp; PDLR'!I5:I14,"&gt;0")=10,"PASS","FAIL")</x:f>
        <x:v>PASS</x:v>
      </x:c>
      <x:c r="D6" s="28" t="str">
        <x:f>COUNTIF('2. WCI &amp; PDLR'!I5:I14,"&gt;0")&amp;" positive anchors"</x:f>
        <x:v>10 positive anchors</x:v>
      </x:c>
      <x:c r="E6" s="32"/>
      <x:c r="F6" s="32"/>
      <x:c r="G6" s="32"/>
      <x:c r="H6" s="32"/>
      <x:c r="I6" s="32"/>
      <x:c r="J6" s="32"/>
      <x:c r="K6" s="32"/>
      <x:c r="L6" s="32"/>
      <x:c r="M6" s="32"/>
      <x:c r="N6" s="32"/>
      <x:c r="O6" s="32"/>
      <x:c r="P6" s="32"/>
      <x:c r="Q6" s="32"/>
      <x:c r="R6" s="32"/>
      <x:c r="S6" s="32"/>
      <x:c r="T6" s="32"/>
      <x:c r="U6" s="32"/>
      <x:c r="V6" s="32"/>
      <x:c r="W6" s="32"/>
      <x:c r="X6" s="32"/>
      <x:c r="Y6" s="32"/>
      <x:c r="Z6" s="32"/>
    </x:row>
    <x:row r="7" ht="28" customHeight="1">
      <x:c r="A7" s="25" t="str">
        <x:v>required_primary_inputs</x:v>
      </x:c>
      <x:c r="B7" s="29" t="str">
        <x:v>All branch-specific primary inputs and denominators are present</x:v>
      </x:c>
      <x:c r="C7" s="29" t="str">
        <x:f>IF(AND(COUNT('1. Inputs &amp; Evidence'!I5:I14)=10,COUNTIF('1. Inputs &amp; Evidence'!K5:K14,"&gt;0")=10,COUNTIF('1. Inputs &amp; Evidence'!L5:L14,"&gt;0")=10,COUNT('1. Inputs &amp; Evidence'!J5:J14)=6),"PASS","FAIL")</x:f>
        <x:v>PASS</x:v>
      </x:c>
      <x:c r="D7" s="29" t="str">
        <x:f>COUNT('1. Inputs &amp; Evidence'!I5:I14)&amp;" r; "&amp;COUNTIF('1. Inputs &amp; Evidence'!K5:K14,"&gt;0")&amp;" K; "&amp;COUNTIF('1. Inputs &amp; Evidence'!L5:L14,"&gt;0")&amp;" W_peak; "&amp;COUNT('1. Inputs &amp; Evidence'!J5:J14)&amp;" PF"</x:f>
        <x:v>10 r; 10 K; 10 W_peak; 6 PF</x:v>
      </x:c>
      <x:c r="E7" s="32"/>
      <x:c r="F7" s="32"/>
      <x:c r="G7" s="32"/>
      <x:c r="H7" s="32"/>
      <x:c r="I7" s="32"/>
      <x:c r="J7" s="32"/>
      <x:c r="K7" s="32"/>
      <x:c r="L7" s="32"/>
      <x:c r="M7" s="32"/>
      <x:c r="N7" s="32"/>
      <x:c r="O7" s="32"/>
      <x:c r="P7" s="32"/>
      <x:c r="Q7" s="32"/>
      <x:c r="R7" s="32"/>
      <x:c r="S7" s="32"/>
      <x:c r="T7" s="32"/>
      <x:c r="U7" s="32"/>
      <x:c r="V7" s="32"/>
      <x:c r="W7" s="32"/>
      <x:c r="X7" s="32"/>
      <x:c r="Y7" s="32"/>
      <x:c r="Z7" s="32"/>
    </x:row>
    <x:row r="8" ht="28" customHeight="1">
      <x:c r="A8" s="24" t="str">
        <x:v>wci_pdlr_identity</x:v>
      </x:c>
      <x:c r="B8" s="28" t="str">
        <x:v>WCI equals r × PDLR</x:v>
      </x:c>
      <x:c r="C8" s="28" t="str">
        <x:f>IF(MAX(MAX('2. WCI &amp; PDLR'!K5:K14),-MIN('2. WCI &amp; PDLR'!K5:K14))&lt;1E-9,"PASS","FAIL")</x:f>
        <x:v>PASS</x:v>
      </x:c>
      <x:c r="D8" s="28" t="n">
        <x:f>MAX(MAX('2. WCI &amp; PDLR'!K5:K14),-MIN('2. WCI &amp; PDLR'!K5:K14))</x:f>
        <x:v>2.220446049250313e-16</x:v>
      </x:c>
      <x:c r="E8" s="32"/>
      <x:c r="F8" s="32"/>
      <x:c r="G8" s="32"/>
      <x:c r="H8" s="32"/>
      <x:c r="I8" s="32"/>
      <x:c r="J8" s="32"/>
      <x:c r="K8" s="32"/>
      <x:c r="L8" s="32"/>
      <x:c r="M8" s="32"/>
      <x:c r="N8" s="32"/>
      <x:c r="O8" s="32"/>
      <x:c r="P8" s="32"/>
      <x:c r="Q8" s="32"/>
      <x:c r="R8" s="32"/>
      <x:c r="S8" s="32"/>
      <x:c r="T8" s="32"/>
      <x:c r="U8" s="32"/>
      <x:c r="V8" s="32"/>
      <x:c r="W8" s="32"/>
      <x:c r="X8" s="32"/>
      <x:c r="Y8" s="32"/>
      <x:c r="Z8" s="32"/>
    </x:row>
    <x:row r="9" ht="28" customHeight="1">
      <x:c r="A9" s="25" t="str">
        <x:v>reported_wci_span</x:v>
      </x:c>
      <x:c r="B9" s="29" t="str">
        <x:v>WCI span rounds to 0.157%–134%</x:v>
      </x:c>
      <x:c r="C9" s="29" t="str">
        <x:f>IF(AND(ROUND(MIN('2. WCI &amp; PDLR'!I5:I14)*100,3)=0.157,ROUND(MAX('2. WCI &amp; PDLR'!I5:I14)*100,0)=134),"PASS","FAIL")</x:f>
        <x:v>PASS</x:v>
      </x:c>
      <x:c r="D9" s="29" t="str">
        <x:f>MIN('2. WCI &amp; PDLR'!I5:I14)&amp;" to "&amp;MAX('2. WCI &amp; PDLR'!I5:I14)</x:f>
        <x:v>0.0015740740740740739 to 1.3391304347826087</x:v>
      </x:c>
      <x:c r="E9" s="32"/>
      <x:c r="F9" s="32"/>
      <x:c r="G9" s="32"/>
      <x:c r="H9" s="32"/>
      <x:c r="I9" s="32"/>
      <x:c r="J9" s="32"/>
      <x:c r="K9" s="32"/>
      <x:c r="L9" s="32"/>
      <x:c r="M9" s="32"/>
      <x:c r="N9" s="32"/>
      <x:c r="O9" s="32"/>
      <x:c r="P9" s="32"/>
      <x:c r="Q9" s="32"/>
      <x:c r="R9" s="32"/>
      <x:c r="S9" s="32"/>
      <x:c r="T9" s="32"/>
      <x:c r="U9" s="32"/>
      <x:c r="V9" s="32"/>
      <x:c r="W9" s="32"/>
      <x:c r="X9" s="32"/>
      <x:c r="Y9" s="32"/>
      <x:c r="Z9" s="32"/>
    </x:row>
    <x:row r="10" ht="28" customHeight="1">
      <x:c r="A10" s="24" t="str">
        <x:v>botetourt_no_double_peak</x:v>
      </x:c>
      <x:c r="B10" s="28" t="str">
        <x:v>Botetourt uses the reported 2 MGD peak without another PF</x:v>
      </x:c>
      <x:c r="C10" s="28" t="str">
        <x:f>IF(AND('1. Inputs &amp; Evidence'!E11="direct_peak",'1. Inputs &amp; Evidence'!J11="",'1. Inputs &amp; Evidence'!L11=2),"PASS","FAIL")</x:f>
        <x:v>PASS</x:v>
      </x:c>
      <x:c r="D10" s="28" t="n">
        <x:f>'1. Inputs &amp; Evidence'!L11</x:f>
        <x:v>2</x:v>
      </x:c>
      <x:c r="E10" s="32"/>
      <x:c r="F10" s="32"/>
      <x:c r="G10" s="32"/>
      <x:c r="H10" s="32"/>
      <x:c r="I10" s="32"/>
      <x:c r="J10" s="32"/>
      <x:c r="K10" s="32"/>
      <x:c r="L10" s="32"/>
      <x:c r="M10" s="32"/>
      <x:c r="N10" s="32"/>
      <x:c r="O10" s="32"/>
      <x:c r="P10" s="32"/>
      <x:c r="Q10" s="32"/>
      <x:c r="R10" s="32"/>
      <x:c r="S10" s="32"/>
      <x:c r="T10" s="32"/>
      <x:c r="U10" s="32"/>
      <x:c r="V10" s="32"/>
      <x:c r="W10" s="32"/>
      <x:c r="X10" s="32"/>
      <x:c r="Y10" s="32"/>
      <x:c r="Z10" s="32"/>
    </x:row>
    <x:row r="11" ht="28" customHeight="1">
      <x:c r="A11" s="25" t="str">
        <x:v>wisconsin_corrected_denominator</x:v>
      </x:c>
      <x:c r="B11" s="29" t="str">
        <x:v>Mount Pleasant conditional denominator is 40 MGD</x:v>
      </x:c>
      <x:c r="C11" s="29" t="str">
        <x:f>IF('1. Inputs &amp; Evidence'!K10=40,"PASS","FAIL")</x:f>
        <x:v>PASS</x:v>
      </x:c>
      <x:c r="D11" s="29" t="n">
        <x:f>'1. Inputs &amp; Evidence'!K10</x:f>
        <x:v>40</x:v>
      </x:c>
      <x:c r="E11" s="32"/>
      <x:c r="F11" s="32"/>
      <x:c r="G11" s="32"/>
      <x:c r="H11" s="32"/>
      <x:c r="I11" s="32"/>
      <x:c r="J11" s="32"/>
      <x:c r="K11" s="32"/>
      <x:c r="L11" s="32"/>
      <x:c r="M11" s="32"/>
      <x:c r="N11" s="32"/>
      <x:c r="O11" s="32"/>
      <x:c r="P11" s="32"/>
      <x:c r="Q11" s="32"/>
      <x:c r="R11" s="32"/>
      <x:c r="S11" s="32"/>
      <x:c r="T11" s="32"/>
      <x:c r="U11" s="32"/>
      <x:c r="V11" s="32"/>
      <x:c r="W11" s="32"/>
      <x:c r="X11" s="32"/>
      <x:c r="Y11" s="32"/>
      <x:c r="Z11" s="32"/>
    </x:row>
    <x:row r="12" ht="28" customHeight="1">
      <x:c r="A12" s="24" t="str">
        <x:v>scenario_coverage</x:v>
      </x:c>
      <x:c r="B12" s="28" t="str">
        <x:v>All fourteen declared scenarios are present</x:v>
      </x:c>
      <x:c r="C12" s="28" t="str">
        <x:f>IF(AND(COUNTA('4. Scenarios &amp; Uncertainty'!B5:B18)=14,COUNTIF('4. Scenarios &amp; Uncertainty'!M5:M18,"&gt;0")=13,COUNTIF('4. Scenarios &amp; Uncertainty'!E5:E18,"no")=1),"PASS","FAIL")</x:f>
        <x:v>PASS</x:v>
      </x:c>
      <x:c r="D12" s="28" t="str">
        <x:f>COUNTA('4. Scenarios &amp; Uncertainty'!B5:B18)&amp;" scenarios; "&amp;COUNTIF('4. Scenarios &amp; Uncertainty'!M5:M18,"&gt;0")&amp;" positive results; "&amp;COUNTIF('4. Scenarios &amp; Uncertainty'!E5:E18,"no")&amp;" unresolved"</x:f>
        <x:v>14 scenarios; 13 positive results; 1 unresolved</x:v>
      </x:c>
      <x:c r="E12" s="32"/>
      <x:c r="F12" s="32"/>
      <x:c r="G12" s="32"/>
      <x:c r="H12" s="32"/>
      <x:c r="I12" s="32"/>
      <x:c r="J12" s="32"/>
      <x:c r="K12" s="32"/>
      <x:c r="L12" s="32"/>
      <x:c r="M12" s="32"/>
      <x:c r="N12" s="32"/>
      <x:c r="O12" s="32"/>
      <x:c r="P12" s="32"/>
      <x:c r="Q12" s="32"/>
      <x:c r="R12" s="32"/>
      <x:c r="S12" s="32"/>
      <x:c r="T12" s="32"/>
      <x:c r="U12" s="32"/>
      <x:c r="V12" s="32"/>
      <x:c r="W12" s="32"/>
      <x:c r="X12" s="32"/>
      <x:c r="Y12" s="32"/>
      <x:c r="Z12" s="32"/>
    </x:row>
    <x:row r="13" ht="28" customHeight="1">
      <x:c r="A13" s="25" t="str">
        <x:v>community_context_coverage</x:v>
      </x:c>
      <x:c r="B13" s="29" t="str">
        <x:v>Six operating campus community comparisons are available</x:v>
      </x:c>
      <x:c r="C13" s="29" t="str">
        <x:f>IF(COUNT('3. Community Context'!J5:J14)=6,"PASS","FAIL")</x:f>
        <x:v>PASS</x:v>
      </x:c>
      <x:c r="D13" s="29" t="str">
        <x:f>COUNT('3. Community Context'!J5:J14)&amp;" comparisons"</x:f>
        <x:v>6 comparisons</x:v>
      </x:c>
      <x:c r="E13" s="32"/>
      <x:c r="F13" s="32"/>
      <x:c r="G13" s="32"/>
      <x:c r="H13" s="32"/>
      <x:c r="I13" s="32"/>
      <x:c r="J13" s="32"/>
      <x:c r="K13" s="32"/>
      <x:c r="L13" s="32"/>
      <x:c r="M13" s="32"/>
      <x:c r="N13" s="32"/>
      <x:c r="O13" s="32"/>
      <x:c r="P13" s="32"/>
      <x:c r="Q13" s="32"/>
      <x:c r="R13" s="32"/>
      <x:c r="S13" s="32"/>
      <x:c r="T13" s="32"/>
      <x:c r="U13" s="32"/>
      <x:c r="V13" s="32"/>
      <x:c r="W13" s="32"/>
      <x:c r="X13" s="32"/>
      <x:c r="Y13" s="32"/>
      <x:c r="Z13" s="32"/>
    </x:row>
    <x:row r="14" ht="28" customHeight="1">
      <x:c r="A14" s="24" t="str">
        <x:v>uncertainty_order</x:v>
      </x:c>
      <x:c r="B14" s="28" t="str">
        <x:v>All four deterministic uncertainty envelopes preserve the stated order</x:v>
      </x:c>
      <x:c r="C14" s="28" t="str">
        <x:f>IF(COUNTIF('4. Scenarios &amp; Uncertainty'!P23:P26,"yes")=4,"PASS","FAIL")</x:f>
        <x:v>PASS</x:v>
      </x:c>
      <x:c r="D14" s="28" t="str">
        <x:f>COUNTIF('4. Scenarios &amp; Uncertainty'!P23:P26,"yes")&amp;" of 4 stable"</x:f>
        <x:v>4 of 4 stable</x:v>
      </x:c>
      <x:c r="E14" s="32"/>
      <x:c r="F14" s="32"/>
      <x:c r="G14" s="32"/>
      <x:c r="H14" s="32"/>
      <x:c r="I14" s="32"/>
      <x:c r="J14" s="32"/>
      <x:c r="K14" s="32"/>
      <x:c r="L14" s="32"/>
      <x:c r="M14" s="32"/>
      <x:c r="N14" s="32"/>
      <x:c r="O14" s="32"/>
      <x:c r="P14" s="32"/>
      <x:c r="Q14" s="32"/>
      <x:c r="R14" s="32"/>
      <x:c r="S14" s="32"/>
      <x:c r="T14" s="32"/>
      <x:c r="U14" s="32"/>
      <x:c r="V14" s="32"/>
      <x:c r="W14" s="32"/>
      <x:c r="X14" s="32"/>
      <x:c r="Y14" s="32"/>
      <x:c r="Z14" s="32"/>
    </x:row>
    <x:row r="15" ht="28" customHeight="1">
      <x:c r="A15" s="25" t="str">
        <x:v>no_fabricated_bounds</x:v>
      </x:c>
      <x:c r="B15" s="29" t="str">
        <x:v>Provenance low/high empirical bound fields remain empty</x:v>
      </x:c>
      <x:c r="C15" s="29" t="str">
        <x:f>IF(COUNTA('1. Inputs &amp; Evidence'!AA20:AB70)=0,"PASS","FAIL")</x:f>
        <x:v>PASS</x:v>
      </x:c>
      <x:c r="D15" s="29" t="str">
        <x:f>COUNTA('1. Inputs &amp; Evidence'!AA20:AB70)&amp;" populated bound cells"</x:f>
        <x:v>0 populated bound cells</x:v>
      </x:c>
      <x:c r="E15" s="32"/>
      <x:c r="F15" s="32"/>
      <x:c r="G15" s="32"/>
      <x:c r="H15" s="32"/>
      <x:c r="I15" s="32"/>
      <x:c r="J15" s="32"/>
      <x:c r="K15" s="32"/>
      <x:c r="L15" s="32"/>
      <x:c r="M15" s="32"/>
      <x:c r="N15" s="32"/>
      <x:c r="O15" s="32"/>
      <x:c r="P15" s="32"/>
      <x:c r="Q15" s="32"/>
      <x:c r="R15" s="32"/>
      <x:c r="S15" s="32"/>
      <x:c r="T15" s="32"/>
      <x:c r="U15" s="32"/>
      <x:c r="V15" s="32"/>
      <x:c r="W15" s="32"/>
      <x:c r="X15" s="32"/>
      <x:c r="Y15" s="32"/>
      <x:c r="Z15" s="32"/>
    </x:row>
    <x:row r="16" ht="28" customHeight="1">
      <x:c r="A16" s="24" t="str">
        <x:v>analytic_sensitivity_execution</x:v>
      </x:c>
      <x:c r="B16" s="28" t="str">
        <x:v>All 48 algebraic sensitivity checks pass</x:v>
      </x:c>
      <x:c r="C16" s="28" t="str">
        <x:f>IF(COUNTIF(I21:I68,"PASS")=48,"PASS","FAIL")</x:f>
        <x:v>PASS</x:v>
      </x:c>
      <x:c r="D16" s="28" t="str">
        <x:f>COUNTIF(I21:I68,"PASS")&amp;" of 48 PASS"</x:f>
        <x:v>48 of 48 PASS</x:v>
      </x:c>
      <x:c r="E16" s="32"/>
      <x:c r="F16" s="32"/>
      <x:c r="G16" s="32"/>
      <x:c r="H16" s="32"/>
      <x:c r="I16" s="32"/>
      <x:c r="J16" s="32"/>
      <x:c r="K16" s="32"/>
      <x:c r="L16" s="32"/>
      <x:c r="M16" s="32"/>
      <x:c r="N16" s="32"/>
      <x:c r="O16" s="32"/>
      <x:c r="P16" s="32"/>
      <x:c r="Q16" s="32"/>
      <x:c r="R16" s="32"/>
      <x:c r="S16" s="32"/>
      <x:c r="T16" s="32"/>
      <x:c r="U16" s="32"/>
      <x:c r="V16" s="32"/>
      <x:c r="W16" s="32"/>
      <x:c r="X16" s="32"/>
      <x:c r="Y16" s="32"/>
      <x:c r="Z16" s="32"/>
    </x:row>
    <x:row r="17" ht="28" customHeight="1">
      <x:c r="A17" s="25" t="str">
        <x:v>synthetic_test_execution</x:v>
      </x:c>
      <x:c r="B17" s="29" t="str">
        <x:v>All 23 synthetic tests pass</x:v>
      </x:c>
      <x:c r="C17" s="29" t="str">
        <x:f>IF(COUNTIF(Z21:Z43,"PASS")=23,"PASS","FAIL")</x:f>
        <x:v>PASS</x:v>
      </x:c>
      <x:c r="D17" s="29" t="str">
        <x:f>COUNTIF(Z21:Z43,"PASS")&amp;" of 23 PASS"</x:f>
        <x:v>23 of 23 PASS</x:v>
      </x:c>
      <x:c r="E17" s="32"/>
      <x:c r="F17" s="32"/>
      <x:c r="G17" s="32"/>
      <x:c r="H17" s="32"/>
      <x:c r="I17" s="32"/>
      <x:c r="J17" s="32"/>
      <x:c r="K17" s="32"/>
      <x:c r="L17" s="32"/>
      <x:c r="M17" s="32"/>
      <x:c r="N17" s="32"/>
      <x:c r="O17" s="32"/>
      <x:c r="P17" s="32"/>
      <x:c r="Q17" s="32"/>
      <x:c r="R17" s="32"/>
      <x:c r="S17" s="32"/>
      <x:c r="T17" s="32"/>
      <x:c r="U17" s="32"/>
      <x:c r="V17" s="32"/>
      <x:c r="W17" s="32"/>
      <x:c r="X17" s="32"/>
      <x:c r="Y17" s="32"/>
      <x:c r="Z17" s="32"/>
    </x:row>
    <x:row r="18">
      <x:c r="A18" s="32"/>
      <x:c r="B18" s="32"/>
      <x:c r="C18" s="32"/>
      <x:c r="D18" s="32"/>
      <x:c r="E18" s="32"/>
      <x:c r="F18" s="32"/>
      <x:c r="G18" s="32"/>
      <x:c r="H18" s="32"/>
      <x:c r="I18" s="32"/>
      <x:c r="J18" s="32"/>
      <x:c r="K18" s="32"/>
      <x:c r="L18" s="32"/>
      <x:c r="M18" s="32"/>
      <x:c r="N18" s="32"/>
      <x:c r="O18" s="32"/>
      <x:c r="P18" s="32"/>
      <x:c r="Q18" s="32"/>
      <x:c r="R18" s="32"/>
      <x:c r="S18" s="32"/>
      <x:c r="T18" s="32"/>
      <x:c r="U18" s="32"/>
      <x:c r="V18" s="32"/>
      <x:c r="W18" s="32"/>
      <x:c r="X18" s="32"/>
      <x:c r="Y18" s="32"/>
      <x:c r="Z18" s="32"/>
    </x:row>
    <x:row r="19" ht="20" customHeight="1">
      <x:c r="A19" s="12" t="str">
        <x:v>Analytical one-at-a-time sensitivity</x:v>
      </x:c>
      <x:c r="B19" s="13" t="str">
        <x:v>Analytical one-at-a-time sensitivity</x:v>
      </x:c>
      <x:c r="C19" s="13" t="str">
        <x:v>Analytical one-at-a-time sensitivity</x:v>
      </x:c>
      <x:c r="D19" s="13" t="str">
        <x:v>Analytical one-at-a-time sensitivity</x:v>
      </x:c>
      <x:c r="E19" s="13" t="str">
        <x:v>Analytical one-at-a-time sensitivity</x:v>
      </x:c>
      <x:c r="F19" s="13" t="str">
        <x:v>Analytical one-at-a-time sensitivity</x:v>
      </x:c>
      <x:c r="G19" s="13" t="str">
        <x:v>Analytical one-at-a-time sensitivity</x:v>
      </x:c>
      <x:c r="H19" s="13" t="str">
        <x:v>Analytical one-at-a-time sensitivity</x:v>
      </x:c>
      <x:c r="I19" s="14" t="str">
        <x:v>Analytical one-at-a-time sensitivity</x:v>
      </x:c>
      <x:c r="J19" s="32"/>
      <x:c r="K19" s="12" t="str">
        <x:v>Synthetic boundary and false-data tests</x:v>
      </x:c>
      <x:c r="L19" s="13" t="str">
        <x:v>Synthetic boundary and false-data tests</x:v>
      </x:c>
      <x:c r="M19" s="13" t="str">
        <x:v>Synthetic boundary and false-data tests</x:v>
      </x:c>
      <x:c r="N19" s="13" t="str">
        <x:v>Synthetic boundary and false-data tests</x:v>
      </x:c>
      <x:c r="O19" s="13" t="str">
        <x:v>Synthetic boundary and false-data tests</x:v>
      </x:c>
      <x:c r="P19" s="13" t="str">
        <x:v>Synthetic boundary and false-data tests</x:v>
      </x:c>
      <x:c r="Q19" s="13" t="str">
        <x:v>Synthetic boundary and false-data tests</x:v>
      </x:c>
      <x:c r="R19" s="13" t="str">
        <x:v>Synthetic boundary and false-data tests</x:v>
      </x:c>
      <x:c r="S19" s="13" t="str">
        <x:v>Synthetic boundary and false-data tests</x:v>
      </x:c>
      <x:c r="T19" s="13" t="str">
        <x:v>Synthetic boundary and false-data tests</x:v>
      </x:c>
      <x:c r="U19" s="13" t="str">
        <x:v>Synthetic boundary and false-data tests</x:v>
      </x:c>
      <x:c r="V19" s="13" t="str">
        <x:v>Synthetic boundary and false-data tests</x:v>
      </x:c>
      <x:c r="W19" s="13" t="str">
        <x:v>Synthetic boundary and false-data tests</x:v>
      </x:c>
      <x:c r="X19" s="13" t="str">
        <x:v>Synthetic boundary and false-data tests</x:v>
      </x:c>
      <x:c r="Y19" s="13" t="str">
        <x:v>Synthetic boundary and false-data tests</x:v>
      </x:c>
      <x:c r="Z19" s="14" t="str">
        <x:v>Synthetic boundary and false-data tests</x:v>
      </x:c>
    </x:row>
    <x:row r="20">
      <x:c r="A20" s="21" t="str">
        <x:v>Metric</x:v>
      </x:c>
      <x:c r="B20" s="21" t="str">
        <x:v>Parameter</x:v>
      </x:c>
      <x:c r="C20" s="21" t="str">
        <x:v>Direction</x:v>
      </x:c>
      <x:c r="D20" s="21" t="str">
        <x:v>Perturbation</x:v>
      </x:c>
      <x:c r="E20" s="21" t="str">
        <x:v>Input multiplier</x:v>
      </x:c>
      <x:c r="F20" s="21" t="str">
        <x:v>Output multiplier</x:v>
      </x:c>
      <x:c r="G20" s="21" t="str">
        <x:v>Output change</x:v>
      </x:c>
      <x:c r="H20" s="21" t="str">
        <x:v>Log elasticity</x:v>
      </x:c>
      <x:c r="I20" s="21" t="str">
        <x:v>Status</x:v>
      </x:c>
      <x:c r="J20" s="32"/>
      <x:c r="K20" s="21" t="str">
        <x:v>Test</x:v>
      </x:c>
      <x:c r="L20" s="21" t="str">
        <x:v>Case</x:v>
      </x:c>
      <x:c r="M20" s="21" t="str">
        <x:v>W_avg</x:v>
      </x:c>
      <x:c r="N20" s="21" t="str">
        <x:v>r</x:v>
      </x:c>
      <x:c r="O20" s="21" t="str">
        <x:v>PF</x:v>
      </x:c>
      <x:c r="P20" s="21" t="str">
        <x:v>K</x:v>
      </x:c>
      <x:c r="Q20" s="21" t="str">
        <x:v>Direct W_peak</x:v>
      </x:c>
      <x:c r="R20" s="21" t="str">
        <x:v>Calculated W_peak</x:v>
      </x:c>
      <x:c r="S20" s="21" t="str">
        <x:v>C_peak</x:v>
      </x:c>
      <x:c r="T20" s="21" t="str">
        <x:v>WCI</x:v>
      </x:c>
      <x:c r="U20" s="21" t="str">
        <x:v>PDLR</x:v>
      </x:c>
      <x:c r="V20" s="21" t="str">
        <x:v>Expected WCI</x:v>
      </x:c>
      <x:c r="W20" s="21" t="str">
        <x:v>Expected PDLR</x:v>
      </x:c>
      <x:c r="X20" s="21" t="str">
        <x:v>Expected error</x:v>
      </x:c>
      <x:c r="Y20" s="21" t="str">
        <x:v>Error message</x:v>
      </x:c>
      <x:c r="Z20" s="21" t="str">
        <x:v>Status</x:v>
      </x:c>
    </x:row>
    <x:row r="21">
      <x:c r="A21" s="24" t="str">
        <x:v>WCI</x:v>
      </x:c>
      <x:c r="B21" s="24" t="str">
        <x:v>W_or_peak</x:v>
      </x:c>
      <x:c r="C21" s="24" t="str">
        <x:v>decrease</x:v>
      </x:c>
      <x:c r="D21" s="80" t="n">
        <x:v>0.1</x:v>
      </x:c>
      <x:c r="E21" s="35" t="n">
        <x:f>IF(C21="decrease",1-D21,1+D21)</x:f>
        <x:v>0.9</x:v>
      </x:c>
      <x:c r="F21" s="35" t="n">
        <x:f>IF(B21="K",1/E21,IF(AND(B21="r",A21="PDLR"),1,E21))</x:f>
        <x:v>0.9</x:v>
      </x:c>
      <x:c r="G21" s="37" t="n">
        <x:f>F21-1</x:f>
        <x:v>-0.09999999999999998</x:v>
      </x:c>
      <x:c r="H21" s="81" t="n">
        <x:f>IF(B21="K",-1,IF(AND(B21="r",A21="PDLR"),0,1))</x:f>
        <x:v>1</x:v>
      </x:c>
      <x:c r="I21" s="24" t="str">
        <x:f>IF(ABS(E21-0.9)+ABS(F21-0.9)+ABS(G21--0.1)+ABS(H21-1)&lt;1E-8,"PASS","FAIL")</x:f>
        <x:v>PASS</x:v>
      </x:c>
      <x:c r="J21" s="32"/>
      <x:c r="K21" s="24" t="str">
        <x:v>reference</x:v>
      </x:c>
      <x:c r="L21" s="24" t="str">
        <x:v>base</x:v>
      </x:c>
      <x:c r="M21" s="57" t="n">
        <x:v>10</x:v>
      </x:c>
      <x:c r="N21" s="57" t="n">
        <x:v>0.75</x:v>
      </x:c>
      <x:c r="O21" s="57" t="n">
        <x:v>2</x:v>
      </x:c>
      <x:c r="P21" s="57" t="n">
        <x:v>100</x:v>
      </x:c>
      <x:c r="Q21" s="57"/>
      <x:c r="R21" s="35" t="n">
        <x:f>IF(Y21&lt;&gt;"","",IF(NOT(ISBLANK(Q21)),Q21,M21*O21))</x:f>
        <x:v>20</x:v>
      </x:c>
      <x:c r="S21" s="35" t="n">
        <x:f>IF(R21="","",R21*N21)</x:f>
        <x:v>15</x:v>
      </x:c>
      <x:c r="T21" s="35" t="n">
        <x:f>IF(S21="","",S21/P21)</x:f>
        <x:v>0.15</x:v>
      </x:c>
      <x:c r="U21" s="35" t="n">
        <x:f>IF(R21="","",R21/P21)</x:f>
        <x:v>0.2</x:v>
      </x:c>
      <x:c r="V21" s="35" t="n">
        <x:v>0.15</x:v>
      </x:c>
      <x:c r="W21" s="35" t="n">
        <x:v>0.2</x:v>
      </x:c>
      <x:c r="X21" s="24" t="str">
        <x:v>no</x:v>
      </x:c>
      <x:c r="Y21" s="28" t="str">
        <x:f>IF(ISBLANK(P21),"Missing required value for K",IF(P21&lt;=0,"K must be greater than zero",IF(ISBLANK(N21),"Missing required value for r_avg",IF(OR(N21&lt;0,N21&gt;1),"r_avg must be between 0 and 1",IF(NOT(ISBLANK(Q21)),IF(Q21&lt;0,"W_peak must be non-negative",""),IF(ISBLANK(M21),"Missing required value for W_avg",IF(M21&lt;0,"W_avg must be non-negative",IF(ISBLANK(O21),"Missing required value for PF_shared",IF(O21&lt;1,"PF_shared must be at least 1","")))))))))</x:f>
      </x:c>
      <x:c r="Z21" s="24" t="str">
        <x:f>IF(X21="yes",IF(Y21&lt;&gt;"","PASS","FAIL"),IF(AND(Y21="",ABS(T21-V21)&lt;1E-9,ABS(U21-W21)&lt;1E-9),"PASS","FAIL"))</x:f>
        <x:v>PASS</x:v>
      </x:c>
    </x:row>
    <x:row r="22">
      <x:c r="A22" s="25" t="str">
        <x:v>WCI</x:v>
      </x:c>
      <x:c r="B22" s="25" t="str">
        <x:v>W_or_peak</x:v>
      </x:c>
      <x:c r="C22" s="25" t="str">
        <x:v>increase</x:v>
      </x:c>
      <x:c r="D22" s="80" t="n">
        <x:v>0.1</x:v>
      </x:c>
      <x:c r="E22" s="36" t="n">
        <x:f>IF(C22="decrease",1-D22,1+D22)</x:f>
        <x:v>1.1</x:v>
      </x:c>
      <x:c r="F22" s="36" t="n">
        <x:f>IF(B22="K",1/E22,IF(AND(B22="r",A22="PDLR"),1,E22))</x:f>
        <x:v>1.1</x:v>
      </x:c>
      <x:c r="G22" s="38" t="n">
        <x:f>F22-1</x:f>
        <x:v>0.10000000000000009</x:v>
      </x:c>
      <x:c r="H22" s="82" t="n">
        <x:f>IF(B22="K",-1,IF(AND(B22="r",A22="PDLR"),0,1))</x:f>
        <x:v>1</x:v>
      </x:c>
      <x:c r="I22" s="25" t="str">
        <x:f>IF(ABS(E22-1.1)+ABS(F22-1.1)+ABS(G22-0.1)+ABS(H22-1)&lt;1E-8,"PASS","FAIL")</x:f>
        <x:v>PASS</x:v>
      </x:c>
      <x:c r="J22" s="32"/>
      <x:c r="K22" s="25" t="str">
        <x:v>unit_invariance</x:v>
      </x:c>
      <x:c r="L22" s="25" t="str">
        <x:v>same_ratio_in_mgd</x:v>
      </x:c>
      <x:c r="M22" s="57" t="n">
        <x:v>2.64172052358</x:v>
      </x:c>
      <x:c r="N22" s="57" t="n">
        <x:v>0.75</x:v>
      </x:c>
      <x:c r="O22" s="57" t="n">
        <x:v>2</x:v>
      </x:c>
      <x:c r="P22" s="57" t="n">
        <x:v>26.4172052358</x:v>
      </x:c>
      <x:c r="Q22" s="57"/>
      <x:c r="R22" s="36" t="n">
        <x:f>IF(Y22&lt;&gt;"","",IF(NOT(ISBLANK(Q22)),Q22,M22*O22))</x:f>
        <x:v>5.28344104716</x:v>
      </x:c>
      <x:c r="S22" s="36" t="n">
        <x:f>IF(R22="","",R22*N22)</x:f>
        <x:v>3.96258078537</x:v>
      </x:c>
      <x:c r="T22" s="36" t="n">
        <x:f>IF(S22="","",S22/P22)</x:f>
        <x:v>0.15</x:v>
      </x:c>
      <x:c r="U22" s="36" t="n">
        <x:f>IF(R22="","",R22/P22)</x:f>
        <x:v>0.2</x:v>
      </x:c>
      <x:c r="V22" s="36" t="n">
        <x:v>0.15</x:v>
      </x:c>
      <x:c r="W22" s="36" t="n">
        <x:v>0.2</x:v>
      </x:c>
      <x:c r="X22" s="25" t="str">
        <x:v>no</x:v>
      </x:c>
      <x:c r="Y22" s="29" t="str">
        <x:f>IF(ISBLANK(P22),"Missing required value for K",IF(P22&lt;=0,"K must be greater than zero",IF(ISBLANK(N22),"Missing required value for r_avg",IF(OR(N22&lt;0,N22&gt;1),"r_avg must be between 0 and 1",IF(NOT(ISBLANK(Q22)),IF(Q22&lt;0,"W_peak must be non-negative",""),IF(ISBLANK(M22),"Missing required value for W_avg",IF(M22&lt;0,"W_avg must be non-negative",IF(ISBLANK(O22),"Missing required value for PF_shared",IF(O22&lt;1,"PF_shared must be at least 1","")))))))))</x:f>
      </x:c>
      <x:c r="Z22" s="25" t="str">
        <x:f>IF(X22="yes",IF(Y22&lt;&gt;"","PASS","FAIL"),IF(AND(Y22="",ABS(T22-V22)&lt;1E-9,ABS(U22-W22)&lt;1E-9),"PASS","FAIL"))</x:f>
        <x:v>PASS</x:v>
      </x:c>
    </x:row>
    <x:row r="23">
      <x:c r="A23" s="24" t="str">
        <x:v>WCI</x:v>
      </x:c>
      <x:c r="B23" s="24" t="str">
        <x:v>W_or_peak</x:v>
      </x:c>
      <x:c r="C23" s="24" t="str">
        <x:v>decrease</x:v>
      </x:c>
      <x:c r="D23" s="80" t="n">
        <x:v>0.25</x:v>
      </x:c>
      <x:c r="E23" s="35" t="n">
        <x:f>IF(C23="decrease",1-D23,1+D23)</x:f>
        <x:v>0.75</x:v>
      </x:c>
      <x:c r="F23" s="35" t="n">
        <x:f>IF(B23="K",1/E23,IF(AND(B23="r",A23="PDLR"),1,E23))</x:f>
        <x:v>0.75</x:v>
      </x:c>
      <x:c r="G23" s="37" t="n">
        <x:f>F23-1</x:f>
        <x:v>-0.25</x:v>
      </x:c>
      <x:c r="H23" s="81" t="n">
        <x:f>IF(B23="K",-1,IF(AND(B23="r",A23="PDLR"),0,1))</x:f>
        <x:v>1</x:v>
      </x:c>
      <x:c r="I23" s="24" t="str">
        <x:f>IF(ABS(E23-0.75)+ABS(F23-0.75)+ABS(G23--0.25)+ABS(H23-1)&lt;1E-8,"PASS","FAIL")</x:f>
        <x:v>PASS</x:v>
      </x:c>
      <x:c r="J23" s="32"/>
      <x:c r="K23" s="24" t="str">
        <x:v>unit_invariance</x:v>
      </x:c>
      <x:c r="L23" s="24" t="str">
        <x:v>same_ratio_in_ml_per_day</x:v>
      </x:c>
      <x:c r="M23" s="57" t="n">
        <x:v>10</x:v>
      </x:c>
      <x:c r="N23" s="57" t="n">
        <x:v>0.75</x:v>
      </x:c>
      <x:c r="O23" s="57" t="n">
        <x:v>2</x:v>
      </x:c>
      <x:c r="P23" s="57" t="n">
        <x:v>100</x:v>
      </x:c>
      <x:c r="Q23" s="57"/>
      <x:c r="R23" s="35" t="n">
        <x:f>IF(Y23&lt;&gt;"","",IF(NOT(ISBLANK(Q23)),Q23,M23*O23))</x:f>
        <x:v>20</x:v>
      </x:c>
      <x:c r="S23" s="35" t="n">
        <x:f>IF(R23="","",R23*N23)</x:f>
        <x:v>15</x:v>
      </x:c>
      <x:c r="T23" s="35" t="n">
        <x:f>IF(S23="","",S23/P23)</x:f>
        <x:v>0.15</x:v>
      </x:c>
      <x:c r="U23" s="35" t="n">
        <x:f>IF(R23="","",R23/P23)</x:f>
        <x:v>0.2</x:v>
      </x:c>
      <x:c r="V23" s="35" t="n">
        <x:v>0.15</x:v>
      </x:c>
      <x:c r="W23" s="35" t="n">
        <x:v>0.2</x:v>
      </x:c>
      <x:c r="X23" s="24" t="str">
        <x:v>no</x:v>
      </x:c>
      <x:c r="Y23" s="28" t="str">
        <x:f>IF(ISBLANK(P23),"Missing required value for K",IF(P23&lt;=0,"K must be greater than zero",IF(ISBLANK(N23),"Missing required value for r_avg",IF(OR(N23&lt;0,N23&gt;1),"r_avg must be between 0 and 1",IF(NOT(ISBLANK(Q23)),IF(Q23&lt;0,"W_peak must be non-negative",""),IF(ISBLANK(M23),"Missing required value for W_avg",IF(M23&lt;0,"W_avg must be non-negative",IF(ISBLANK(O23),"Missing required value for PF_shared",IF(O23&lt;1,"PF_shared must be at least 1","")))))))))</x:f>
      </x:c>
      <x:c r="Z23" s="24" t="str">
        <x:f>IF(X23="yes",IF(Y23&lt;&gt;"","PASS","FAIL"),IF(AND(Y23="",ABS(T23-V23)&lt;1E-9,ABS(U23-W23)&lt;1E-9),"PASS","FAIL"))</x:f>
        <x:v>PASS</x:v>
      </x:c>
    </x:row>
    <x:row r="24">
      <x:c r="A24" s="25" t="str">
        <x:v>WCI</x:v>
      </x:c>
      <x:c r="B24" s="25" t="str">
        <x:v>W_or_peak</x:v>
      </x:c>
      <x:c r="C24" s="25" t="str">
        <x:v>increase</x:v>
      </x:c>
      <x:c r="D24" s="80" t="n">
        <x:v>0.25</x:v>
      </x:c>
      <x:c r="E24" s="36" t="n">
        <x:f>IF(C24="decrease",1-D24,1+D24)</x:f>
        <x:v>1.25</x:v>
      </x:c>
      <x:c r="F24" s="36" t="n">
        <x:f>IF(B24="K",1/E24,IF(AND(B24="r",A24="PDLR"),1,E24))</x:f>
        <x:v>1.25</x:v>
      </x:c>
      <x:c r="G24" s="38" t="n">
        <x:f>F24-1</x:f>
        <x:v>0.25</x:v>
      </x:c>
      <x:c r="H24" s="82" t="n">
        <x:f>IF(B24="K",-1,IF(AND(B24="r",A24="PDLR"),0,1))</x:f>
        <x:v>1</x:v>
      </x:c>
      <x:c r="I24" s="25" t="str">
        <x:f>IF(ABS(E24-1.25)+ABS(F24-1.25)+ABS(G24-0.25)+ABS(H24-1)&lt;1E-8,"PASS","FAIL")</x:f>
        <x:v>PASS</x:v>
      </x:c>
      <x:c r="J24" s="32"/>
      <x:c r="K24" s="25" t="str">
        <x:v>scale_invariance</x:v>
      </x:c>
      <x:c r="L24" s="25" t="str">
        <x:v>all_flows_x3</x:v>
      </x:c>
      <x:c r="M24" s="57" t="n">
        <x:v>30</x:v>
      </x:c>
      <x:c r="N24" s="57" t="n">
        <x:v>0.75</x:v>
      </x:c>
      <x:c r="O24" s="57" t="n">
        <x:v>2</x:v>
      </x:c>
      <x:c r="P24" s="57" t="n">
        <x:v>300</x:v>
      </x:c>
      <x:c r="Q24" s="57"/>
      <x:c r="R24" s="36" t="n">
        <x:f>IF(Y24&lt;&gt;"","",IF(NOT(ISBLANK(Q24)),Q24,M24*O24))</x:f>
        <x:v>60</x:v>
      </x:c>
      <x:c r="S24" s="36" t="n">
        <x:f>IF(R24="","",R24*N24)</x:f>
        <x:v>45</x:v>
      </x:c>
      <x:c r="T24" s="36" t="n">
        <x:f>IF(S24="","",S24/P24)</x:f>
        <x:v>0.15</x:v>
      </x:c>
      <x:c r="U24" s="36" t="n">
        <x:f>IF(R24="","",R24/P24)</x:f>
        <x:v>0.2</x:v>
      </x:c>
      <x:c r="V24" s="36" t="n">
        <x:v>0.15</x:v>
      </x:c>
      <x:c r="W24" s="36" t="n">
        <x:v>0.2</x:v>
      </x:c>
      <x:c r="X24" s="25" t="str">
        <x:v>no</x:v>
      </x:c>
      <x:c r="Y24" s="29" t="str">
        <x:f>IF(ISBLANK(P24),"Missing required value for K",IF(P24&lt;=0,"K must be greater than zero",IF(ISBLANK(N24),"Missing required value for r_avg",IF(OR(N24&lt;0,N24&gt;1),"r_avg must be between 0 and 1",IF(NOT(ISBLANK(Q24)),IF(Q24&lt;0,"W_peak must be non-negative",""),IF(ISBLANK(M24),"Missing required value for W_avg",IF(M24&lt;0,"W_avg must be non-negative",IF(ISBLANK(O24),"Missing required value for PF_shared",IF(O24&lt;1,"PF_shared must be at least 1","")))))))))</x:f>
      </x:c>
      <x:c r="Z24" s="25" t="str">
        <x:f>IF(X24="yes",IF(Y24&lt;&gt;"","PASS","FAIL"),IF(AND(Y24="",ABS(T24-V24)&lt;1E-9,ABS(U24-W24)&lt;1E-9),"PASS","FAIL"))</x:f>
        <x:v>PASS</x:v>
      </x:c>
    </x:row>
    <x:row r="25">
      <x:c r="A25" s="24" t="str">
        <x:v>WCI</x:v>
      </x:c>
      <x:c r="B25" s="24" t="str">
        <x:v>W_or_peak</x:v>
      </x:c>
      <x:c r="C25" s="24" t="str">
        <x:v>decrease</x:v>
      </x:c>
      <x:c r="D25" s="80" t="n">
        <x:v>0.5</x:v>
      </x:c>
      <x:c r="E25" s="35" t="n">
        <x:f>IF(C25="decrease",1-D25,1+D25)</x:f>
        <x:v>0.5</x:v>
      </x:c>
      <x:c r="F25" s="35" t="n">
        <x:f>IF(B25="K",1/E25,IF(AND(B25="r",A25="PDLR"),1,E25))</x:f>
        <x:v>0.5</x:v>
      </x:c>
      <x:c r="G25" s="37" t="n">
        <x:f>F25-1</x:f>
        <x:v>-0.5</x:v>
      </x:c>
      <x:c r="H25" s="81" t="n">
        <x:f>IF(B25="K",-1,IF(AND(B25="r",A25="PDLR"),0,1))</x:f>
        <x:v>1</x:v>
      </x:c>
      <x:c r="I25" s="24" t="str">
        <x:f>IF(ABS(E25-0.5)+ABS(F25-0.5)+ABS(G25--0.5)+ABS(H25-1)&lt;1E-8,"PASS","FAIL")</x:f>
        <x:v>PASS</x:v>
      </x:c>
      <x:c r="J25" s="32"/>
      <x:c r="K25" s="24" t="str">
        <x:v>dry_cooling_boundary</x:v>
      </x:c>
      <x:c r="L25" s="24" t="str">
        <x:v>r_zero</x:v>
      </x:c>
      <x:c r="M25" s="57" t="n">
        <x:v>10</x:v>
      </x:c>
      <x:c r="N25" s="57" t="n">
        <x:v>0</x:v>
      </x:c>
      <x:c r="O25" s="57" t="n">
        <x:v>2</x:v>
      </x:c>
      <x:c r="P25" s="57" t="n">
        <x:v>100</x:v>
      </x:c>
      <x:c r="Q25" s="57"/>
      <x:c r="R25" s="35" t="n">
        <x:f>IF(Y25&lt;&gt;"","",IF(NOT(ISBLANK(Q25)),Q25,M25*O25))</x:f>
        <x:v>20</x:v>
      </x:c>
      <x:c r="S25" s="35" t="n">
        <x:f>IF(R25="","",R25*N25)</x:f>
        <x:v>0</x:v>
      </x:c>
      <x:c r="T25" s="35" t="str">
        <x:f>IF(S25="","",S25/P25)</x:f>
      </x:c>
      <x:c r="U25" s="35" t="n">
        <x:f>IF(R25="","",R25/P25)</x:f>
        <x:v>0.2</x:v>
      </x:c>
      <x:c r="V25" s="35" t="n">
        <x:v>0</x:v>
      </x:c>
      <x:c r="W25" s="35" t="n">
        <x:v>0.2</x:v>
      </x:c>
      <x:c r="X25" s="24" t="str">
        <x:v>no</x:v>
      </x:c>
      <x:c r="Y25" s="28" t="str">
        <x:f>IF(ISBLANK(P25),"Missing required value for K",IF(P25&lt;=0,"K must be greater than zero",IF(ISBLANK(N25),"Missing required value for r_avg",IF(OR(N25&lt;0,N25&gt;1),"r_avg must be between 0 and 1",IF(NOT(ISBLANK(Q25)),IF(Q25&lt;0,"W_peak must be non-negative",""),IF(ISBLANK(M25),"Missing required value for W_avg",IF(M25&lt;0,"W_avg must be non-negative",IF(ISBLANK(O25),"Missing required value for PF_shared",IF(O25&lt;1,"PF_shared must be at least 1","")))))))))</x:f>
      </x:c>
      <x:c r="Z25" s="24" t="str">
        <x:f>IF(X25="yes",IF(Y25&lt;&gt;"","PASS","FAIL"),IF(AND(Y25="",ABS(T25-V25)&lt;1E-9,ABS(U25-W25)&lt;1E-9),"PASS","FAIL"))</x:f>
        <x:v>PASS</x:v>
      </x:c>
    </x:row>
    <x:row r="26">
      <x:c r="A26" s="25" t="str">
        <x:v>WCI</x:v>
      </x:c>
      <x:c r="B26" s="25" t="str">
        <x:v>W_or_peak</x:v>
      </x:c>
      <x:c r="C26" s="25" t="str">
        <x:v>increase</x:v>
      </x:c>
      <x:c r="D26" s="80" t="n">
        <x:v>0.5</x:v>
      </x:c>
      <x:c r="E26" s="36" t="n">
        <x:f>IF(C26="decrease",1-D26,1+D26)</x:f>
        <x:v>1.5</x:v>
      </x:c>
      <x:c r="F26" s="36" t="n">
        <x:f>IF(B26="K",1/E26,IF(AND(B26="r",A26="PDLR"),1,E26))</x:f>
        <x:v>1.5</x:v>
      </x:c>
      <x:c r="G26" s="38" t="n">
        <x:f>F26-1</x:f>
        <x:v>0.5</x:v>
      </x:c>
      <x:c r="H26" s="82" t="n">
        <x:f>IF(B26="K",-1,IF(AND(B26="r",A26="PDLR"),0,1))</x:f>
        <x:v>1</x:v>
      </x:c>
      <x:c r="I26" s="25" t="str">
        <x:f>IF(ABS(E26-1.5)+ABS(F26-1.5)+ABS(G26-0.5)+ABS(H26-1)&lt;1E-8,"PASS","FAIL")</x:f>
        <x:v>PASS</x:v>
      </x:c>
      <x:c r="J26" s="32"/>
      <x:c r="K26" s="25" t="str">
        <x:v>complete_consumption_boundary</x:v>
      </x:c>
      <x:c r="L26" s="25" t="str">
        <x:v>r_one</x:v>
      </x:c>
      <x:c r="M26" s="57" t="n">
        <x:v>10</x:v>
      </x:c>
      <x:c r="N26" s="57" t="n">
        <x:v>1</x:v>
      </x:c>
      <x:c r="O26" s="57" t="n">
        <x:v>2</x:v>
      </x:c>
      <x:c r="P26" s="57" t="n">
        <x:v>100</x:v>
      </x:c>
      <x:c r="Q26" s="57"/>
      <x:c r="R26" s="36" t="n">
        <x:f>IF(Y26&lt;&gt;"","",IF(NOT(ISBLANK(Q26)),Q26,M26*O26))</x:f>
        <x:v>20</x:v>
      </x:c>
      <x:c r="S26" s="36" t="n">
        <x:f>IF(R26="","",R26*N26)</x:f>
        <x:v>20</x:v>
      </x:c>
      <x:c r="T26" s="36" t="n">
        <x:f>IF(S26="","",S26/P26)</x:f>
        <x:v>0.2</x:v>
      </x:c>
      <x:c r="U26" s="36" t="n">
        <x:f>IF(R26="","",R26/P26)</x:f>
        <x:v>0.2</x:v>
      </x:c>
      <x:c r="V26" s="36" t="n">
        <x:v>0.2</x:v>
      </x:c>
      <x:c r="W26" s="36" t="n">
        <x:v>0.2</x:v>
      </x:c>
      <x:c r="X26" s="25" t="str">
        <x:v>no</x:v>
      </x:c>
      <x:c r="Y26" s="29" t="str">
        <x:f>IF(ISBLANK(P26),"Missing required value for K",IF(P26&lt;=0,"K must be greater than zero",IF(ISBLANK(N26),"Missing required value for r_avg",IF(OR(N26&lt;0,N26&gt;1),"r_avg must be between 0 and 1",IF(NOT(ISBLANK(Q26)),IF(Q26&lt;0,"W_peak must be non-negative",""),IF(ISBLANK(M26),"Missing required value for W_avg",IF(M26&lt;0,"W_avg must be non-negative",IF(ISBLANK(O26),"Missing required value for PF_shared",IF(O26&lt;1,"PF_shared must be at least 1","")))))))))</x:f>
      </x:c>
      <x:c r="Z26" s="25" t="str">
        <x:f>IF(X26="yes",IF(Y26&lt;&gt;"","PASS","FAIL"),IF(AND(Y26="",ABS(T26-V26)&lt;1E-9,ABS(U26-W26)&lt;1E-9),"PASS","FAIL"))</x:f>
        <x:v>PASS</x:v>
      </x:c>
    </x:row>
    <x:row r="27">
      <x:c r="A27" s="24" t="str">
        <x:v>WCI</x:v>
      </x:c>
      <x:c r="B27" s="24" t="str">
        <x:v>r</x:v>
      </x:c>
      <x:c r="C27" s="24" t="str">
        <x:v>decrease</x:v>
      </x:c>
      <x:c r="D27" s="80" t="n">
        <x:v>0.1</x:v>
      </x:c>
      <x:c r="E27" s="35" t="n">
        <x:f>IF(C27="decrease",1-D27,1+D27)</x:f>
        <x:v>0.9</x:v>
      </x:c>
      <x:c r="F27" s="35" t="n">
        <x:f>IF(B27="K",1/E27,IF(AND(B27="r",A27="PDLR"),1,E27))</x:f>
        <x:v>0.9</x:v>
      </x:c>
      <x:c r="G27" s="37" t="n">
        <x:f>F27-1</x:f>
        <x:v>-0.09999999999999998</x:v>
      </x:c>
      <x:c r="H27" s="81" t="n">
        <x:f>IF(B27="K",-1,IF(AND(B27="r",A27="PDLR"),0,1))</x:f>
        <x:v>1</x:v>
      </x:c>
      <x:c r="I27" s="24" t="str">
        <x:f>IF(ABS(E27-0.9)+ABS(F27-0.9)+ABS(G27--0.1)+ABS(H27-1)&lt;1E-8,"PASS","FAIL")</x:f>
        <x:v>PASS</x:v>
      </x:c>
      <x:c r="J27" s="32"/>
      <x:c r="K27" s="24" t="str">
        <x:v>extreme_peaking</x:v>
      </x:c>
      <x:c r="L27" s="24" t="str">
        <x:v>pf_30</x:v>
      </x:c>
      <x:c r="M27" s="57" t="n">
        <x:v>10</x:v>
      </x:c>
      <x:c r="N27" s="57" t="n">
        <x:v>0.75</x:v>
      </x:c>
      <x:c r="O27" s="57" t="n">
        <x:v>30</x:v>
      </x:c>
      <x:c r="P27" s="57" t="n">
        <x:v>100</x:v>
      </x:c>
      <x:c r="Q27" s="57"/>
      <x:c r="R27" s="35" t="n">
        <x:f>IF(Y27&lt;&gt;"","",IF(NOT(ISBLANK(Q27)),Q27,M27*O27))</x:f>
        <x:v>300</x:v>
      </x:c>
      <x:c r="S27" s="35" t="n">
        <x:f>IF(R27="","",R27*N27)</x:f>
        <x:v>225</x:v>
      </x:c>
      <x:c r="T27" s="35" t="n">
        <x:f>IF(S27="","",S27/P27)</x:f>
        <x:v>2.25</x:v>
      </x:c>
      <x:c r="U27" s="35" t="n">
        <x:f>IF(R27="","",R27/P27)</x:f>
        <x:v>3</x:v>
      </x:c>
      <x:c r="V27" s="35" t="n">
        <x:v>2.25</x:v>
      </x:c>
      <x:c r="W27" s="35" t="n">
        <x:v>3</x:v>
      </x:c>
      <x:c r="X27" s="24" t="str">
        <x:v>no</x:v>
      </x:c>
      <x:c r="Y27" s="28" t="str">
        <x:f>IF(ISBLANK(P27),"Missing required value for K",IF(P27&lt;=0,"K must be greater than zero",IF(ISBLANK(N27),"Missing required value for r_avg",IF(OR(N27&lt;0,N27&gt;1),"r_avg must be between 0 and 1",IF(NOT(ISBLANK(Q27)),IF(Q27&lt;0,"W_peak must be non-negative",""),IF(ISBLANK(M27),"Missing required value for W_avg",IF(M27&lt;0,"W_avg must be non-negative",IF(ISBLANK(O27),"Missing required value for PF_shared",IF(O27&lt;1,"PF_shared must be at least 1","")))))))))</x:f>
      </x:c>
      <x:c r="Z27" s="24" t="str">
        <x:f>IF(X27="yes",IF(Y27&lt;&gt;"","PASS","FAIL"),IF(AND(Y27="",ABS(T27-V27)&lt;1E-9,ABS(U27-W27)&lt;1E-9),"PASS","FAIL"))</x:f>
        <x:v>PASS</x:v>
      </x:c>
    </x:row>
    <x:row r="28">
      <x:c r="A28" s="25" t="str">
        <x:v>WCI</x:v>
      </x:c>
      <x:c r="B28" s="25" t="str">
        <x:v>r</x:v>
      </x:c>
      <x:c r="C28" s="25" t="str">
        <x:v>increase</x:v>
      </x:c>
      <x:c r="D28" s="80" t="n">
        <x:v>0.1</x:v>
      </x:c>
      <x:c r="E28" s="36" t="n">
        <x:f>IF(C28="decrease",1-D28,1+D28)</x:f>
        <x:v>1.1</x:v>
      </x:c>
      <x:c r="F28" s="36" t="n">
        <x:f>IF(B28="K",1/E28,IF(AND(B28="r",A28="PDLR"),1,E28))</x:f>
        <x:v>1.1</x:v>
      </x:c>
      <x:c r="G28" s="38" t="n">
        <x:f>F28-1</x:f>
        <x:v>0.10000000000000009</x:v>
      </x:c>
      <x:c r="H28" s="82" t="n">
        <x:f>IF(B28="K",-1,IF(AND(B28="r",A28="PDLR"),0,1))</x:f>
        <x:v>1</x:v>
      </x:c>
      <x:c r="I28" s="25" t="str">
        <x:f>IF(ABS(E28-1.1)+ABS(F28-1.1)+ABS(G28-0.1)+ABS(H28-1)&lt;1E-8,"PASS","FAIL")</x:f>
        <x:v>PASS</x:v>
      </x:c>
      <x:c r="J28" s="32"/>
      <x:c r="K28" s="25" t="str">
        <x:v>denominator_boundary</x:v>
      </x:c>
      <x:c r="L28" s="25" t="str">
        <x:v>regional_K</x:v>
      </x:c>
      <x:c r="M28" s="57" t="n">
        <x:v>10</x:v>
      </x:c>
      <x:c r="N28" s="57" t="n">
        <x:v>0.75</x:v>
      </x:c>
      <x:c r="O28" s="57" t="n">
        <x:v>2</x:v>
      </x:c>
      <x:c r="P28" s="57" t="n">
        <x:v>1000</x:v>
      </x:c>
      <x:c r="Q28" s="57"/>
      <x:c r="R28" s="36" t="n">
        <x:f>IF(Y28&lt;&gt;"","",IF(NOT(ISBLANK(Q28)),Q28,M28*O28))</x:f>
        <x:v>20</x:v>
      </x:c>
      <x:c r="S28" s="36" t="n">
        <x:f>IF(R28="","",R28*N28)</x:f>
        <x:v>15</x:v>
      </x:c>
      <x:c r="T28" s="36" t="n">
        <x:f>IF(S28="","",S28/P28)</x:f>
        <x:v>0.015</x:v>
      </x:c>
      <x:c r="U28" s="36" t="n">
        <x:f>IF(R28="","",R28/P28)</x:f>
        <x:v>0.02</x:v>
      </x:c>
      <x:c r="V28" s="36" t="n">
        <x:v>0.015</x:v>
      </x:c>
      <x:c r="W28" s="36" t="n">
        <x:v>0.02</x:v>
      </x:c>
      <x:c r="X28" s="25" t="str">
        <x:v>no</x:v>
      </x:c>
      <x:c r="Y28" s="29" t="str">
        <x:f>IF(ISBLANK(P28),"Missing required value for K",IF(P28&lt;=0,"K must be greater than zero",IF(ISBLANK(N28),"Missing required value for r_avg",IF(OR(N28&lt;0,N28&gt;1),"r_avg must be between 0 and 1",IF(NOT(ISBLANK(Q28)),IF(Q28&lt;0,"W_peak must be non-negative",""),IF(ISBLANK(M28),"Missing required value for W_avg",IF(M28&lt;0,"W_avg must be non-negative",IF(ISBLANK(O28),"Missing required value for PF_shared",IF(O28&lt;1,"PF_shared must be at least 1","")))))))))</x:f>
      </x:c>
      <x:c r="Z28" s="25" t="str">
        <x:f>IF(X28="yes",IF(Y28&lt;&gt;"","PASS","FAIL"),IF(AND(Y28="",ABS(T28-V28)&lt;1E-9,ABS(U28-W28)&lt;1E-9),"PASS","FAIL"))</x:f>
        <x:v>PASS</x:v>
      </x:c>
    </x:row>
    <x:row r="29">
      <x:c r="A29" s="24" t="str">
        <x:v>WCI</x:v>
      </x:c>
      <x:c r="B29" s="24" t="str">
        <x:v>r</x:v>
      </x:c>
      <x:c r="C29" s="24" t="str">
        <x:v>decrease</x:v>
      </x:c>
      <x:c r="D29" s="80" t="n">
        <x:v>0.25</x:v>
      </x:c>
      <x:c r="E29" s="35" t="n">
        <x:f>IF(C29="decrease",1-D29,1+D29)</x:f>
        <x:v>0.75</x:v>
      </x:c>
      <x:c r="F29" s="35" t="n">
        <x:f>IF(B29="K",1/E29,IF(AND(B29="r",A29="PDLR"),1,E29))</x:f>
        <x:v>0.75</x:v>
      </x:c>
      <x:c r="G29" s="37" t="n">
        <x:f>F29-1</x:f>
        <x:v>-0.25</x:v>
      </x:c>
      <x:c r="H29" s="81" t="n">
        <x:f>IF(B29="K",-1,IF(AND(B29="r",A29="PDLR"),0,1))</x:f>
        <x:v>1</x:v>
      </x:c>
      <x:c r="I29" s="24" t="str">
        <x:f>IF(ABS(E29-0.75)+ABS(F29-0.75)+ABS(G29--0.25)+ABS(H29-1)&lt;1E-8,"PASS","FAIL")</x:f>
        <x:v>PASS</x:v>
      </x:c>
      <x:c r="J29" s="32"/>
      <x:c r="K29" s="24" t="str">
        <x:v>denominator_boundary</x:v>
      </x:c>
      <x:c r="L29" s="24" t="str">
        <x:v>local_K</x:v>
      </x:c>
      <x:c r="M29" s="57" t="n">
        <x:v>10</x:v>
      </x:c>
      <x:c r="N29" s="57" t="n">
        <x:v>0.75</x:v>
      </x:c>
      <x:c r="O29" s="57" t="n">
        <x:v>2</x:v>
      </x:c>
      <x:c r="P29" s="57" t="n">
        <x:v>20</x:v>
      </x:c>
      <x:c r="Q29" s="57"/>
      <x:c r="R29" s="35" t="n">
        <x:f>IF(Y29&lt;&gt;"","",IF(NOT(ISBLANK(Q29)),Q29,M29*O29))</x:f>
        <x:v>20</x:v>
      </x:c>
      <x:c r="S29" s="35" t="n">
        <x:f>IF(R29="","",R29*N29)</x:f>
        <x:v>15</x:v>
      </x:c>
      <x:c r="T29" s="35" t="n">
        <x:f>IF(S29="","",S29/P29)</x:f>
        <x:v>0.75</x:v>
      </x:c>
      <x:c r="U29" s="35" t="n">
        <x:f>IF(R29="","",R29/P29)</x:f>
        <x:v>1</x:v>
      </x:c>
      <x:c r="V29" s="35" t="n">
        <x:v>0.75</x:v>
      </x:c>
      <x:c r="W29" s="35" t="n">
        <x:v>1</x:v>
      </x:c>
      <x:c r="X29" s="24" t="str">
        <x:v>no</x:v>
      </x:c>
      <x:c r="Y29" s="28" t="str">
        <x:f>IF(ISBLANK(P29),"Missing required value for K",IF(P29&lt;=0,"K must be greater than zero",IF(ISBLANK(N29),"Missing required value for r_avg",IF(OR(N29&lt;0,N29&gt;1),"r_avg must be between 0 and 1",IF(NOT(ISBLANK(Q29)),IF(Q29&lt;0,"W_peak must be non-negative",""),IF(ISBLANK(M29),"Missing required value for W_avg",IF(M29&lt;0,"W_avg must be non-negative",IF(ISBLANK(O29),"Missing required value for PF_shared",IF(O29&lt;1,"PF_shared must be at least 1","")))))))))</x:f>
      </x:c>
      <x:c r="Z29" s="24" t="str">
        <x:f>IF(X29="yes",IF(Y29&lt;&gt;"","PASS","FAIL"),IF(AND(Y29="",ABS(T29-V29)&lt;1E-9,ABS(U29-W29)&lt;1E-9),"PASS","FAIL"))</x:f>
        <x:v>PASS</x:v>
      </x:c>
    </x:row>
    <x:row r="30">
      <x:c r="A30" s="25" t="str">
        <x:v>WCI</x:v>
      </x:c>
      <x:c r="B30" s="25" t="str">
        <x:v>r</x:v>
      </x:c>
      <x:c r="C30" s="25" t="str">
        <x:v>increase</x:v>
      </x:c>
      <x:c r="D30" s="80" t="n">
        <x:v>0.25</x:v>
      </x:c>
      <x:c r="E30" s="36" t="n">
        <x:f>IF(C30="decrease",1-D30,1+D30)</x:f>
        <x:v>1.25</x:v>
      </x:c>
      <x:c r="F30" s="36" t="n">
        <x:f>IF(B30="K",1/E30,IF(AND(B30="r",A30="PDLR"),1,E30))</x:f>
        <x:v>1.25</x:v>
      </x:c>
      <x:c r="G30" s="38" t="n">
        <x:f>F30-1</x:f>
        <x:v>0.25</x:v>
      </x:c>
      <x:c r="H30" s="82" t="n">
        <x:f>IF(B30="K",-1,IF(AND(B30="r",A30="PDLR"),0,1))</x:f>
        <x:v>1</x:v>
      </x:c>
      <x:c r="I30" s="25" t="str">
        <x:f>IF(ABS(E30-1.25)+ABS(F30-1.25)+ABS(G30-0.25)+ABS(H30-1)&lt;1E-8,"PASS","FAIL")</x:f>
        <x:v>PASS</x:v>
      </x:c>
      <x:c r="J30" s="32"/>
      <x:c r="K30" s="25" t="str">
        <x:v>reclaimed_water_mismatch</x:v>
      </x:c>
      <x:c r="L30" s="25" t="str">
        <x:v>incorrect_total_over_potable_K</x:v>
      </x:c>
      <x:c r="M30" s="57" t="n">
        <x:v>10</x:v>
      </x:c>
      <x:c r="N30" s="57" t="n">
        <x:v>0.8</x:v>
      </x:c>
      <x:c r="O30" s="57" t="n">
        <x:v>2</x:v>
      </x:c>
      <x:c r="P30" s="57" t="n">
        <x:v>20</x:v>
      </x:c>
      <x:c r="Q30" s="57"/>
      <x:c r="R30" s="36" t="n">
        <x:f>IF(Y30&lt;&gt;"","",IF(NOT(ISBLANK(Q30)),Q30,M30*O30))</x:f>
        <x:v>20</x:v>
      </x:c>
      <x:c r="S30" s="36" t="n">
        <x:f>IF(R30="","",R30*N30)</x:f>
        <x:v>16</x:v>
      </x:c>
      <x:c r="T30" s="36" t="n">
        <x:f>IF(S30="","",S30/P30)</x:f>
        <x:v>0.8</x:v>
      </x:c>
      <x:c r="U30" s="36" t="n">
        <x:f>IF(R30="","",R30/P30)</x:f>
        <x:v>1</x:v>
      </x:c>
      <x:c r="V30" s="36" t="n">
        <x:v>0.8</x:v>
      </x:c>
      <x:c r="W30" s="36" t="n">
        <x:v>1</x:v>
      </x:c>
      <x:c r="X30" s="25" t="str">
        <x:v>no</x:v>
      </x:c>
      <x:c r="Y30" s="29" t="str">
        <x:f>IF(ISBLANK(P30),"Missing required value for K",IF(P30&lt;=0,"K must be greater than zero",IF(ISBLANK(N30),"Missing required value for r_avg",IF(OR(N30&lt;0,N30&gt;1),"r_avg must be between 0 and 1",IF(NOT(ISBLANK(Q30)),IF(Q30&lt;0,"W_peak must be non-negative",""),IF(ISBLANK(M30),"Missing required value for W_avg",IF(M30&lt;0,"W_avg must be non-negative",IF(ISBLANK(O30),"Missing required value for PF_shared",IF(O30&lt;1,"PF_shared must be at least 1","")))))))))</x:f>
      </x:c>
      <x:c r="Z30" s="25" t="str">
        <x:f>IF(X30="yes",IF(Y30&lt;&gt;"","PASS","FAIL"),IF(AND(Y30="",ABS(T30-V30)&lt;1E-9,ABS(U30-W30)&lt;1E-9),"PASS","FAIL"))</x:f>
        <x:v>PASS</x:v>
      </x:c>
    </x:row>
    <x:row r="31">
      <x:c r="A31" s="24" t="str">
        <x:v>WCI</x:v>
      </x:c>
      <x:c r="B31" s="24" t="str">
        <x:v>r</x:v>
      </x:c>
      <x:c r="C31" s="24" t="str">
        <x:v>decrease</x:v>
      </x:c>
      <x:c r="D31" s="80" t="n">
        <x:v>0.5</x:v>
      </x:c>
      <x:c r="E31" s="35" t="n">
        <x:f>IF(C31="decrease",1-D31,1+D31)</x:f>
        <x:v>0.5</x:v>
      </x:c>
      <x:c r="F31" s="35" t="n">
        <x:f>IF(B31="K",1/E31,IF(AND(B31="r",A31="PDLR"),1,E31))</x:f>
        <x:v>0.5</x:v>
      </x:c>
      <x:c r="G31" s="37" t="n">
        <x:f>F31-1</x:f>
        <x:v>-0.5</x:v>
      </x:c>
      <x:c r="H31" s="81" t="n">
        <x:f>IF(B31="K",-1,IF(AND(B31="r",A31="PDLR"),0,1))</x:f>
        <x:v>1</x:v>
      </x:c>
      <x:c r="I31" s="24" t="str">
        <x:f>IF(ABS(E31-0.5)+ABS(F31-0.5)+ABS(G31--0.5)+ABS(H31-1)&lt;1E-8,"PASS","FAIL")</x:f>
        <x:v>PASS</x:v>
      </x:c>
      <x:c r="J31" s="32"/>
      <x:c r="K31" s="24" t="str">
        <x:v>reclaimed_water_mismatch</x:v>
      </x:c>
      <x:c r="L31" s="24" t="str">
        <x:v>source_specific_r_missing</x:v>
      </x:c>
      <x:c r="M31" s="57" t="n">
        <x:v>1</x:v>
      </x:c>
      <x:c r="N31" s="57"/>
      <x:c r="O31" s="57" t="n">
        <x:v>2</x:v>
      </x:c>
      <x:c r="P31" s="57" t="n">
        <x:v>20</x:v>
      </x:c>
      <x:c r="Q31" s="57"/>
      <x:c r="R31" s="35" t="str">
        <x:f>IF(Y31&lt;&gt;"","",IF(NOT(ISBLANK(Q31)),Q31,M31*O31))</x:f>
      </x:c>
      <x:c r="S31" s="35" t="str">
        <x:f>IF(R31="","",R31*N31)</x:f>
      </x:c>
      <x:c r="T31" s="35" t="str">
        <x:f>IF(S31="","",S31/P31)</x:f>
      </x:c>
      <x:c r="U31" s="35" t="str">
        <x:f>IF(R31="","",R31/P31)</x:f>
      </x:c>
      <x:c r="V31" s="35"/>
      <x:c r="W31" s="35"/>
      <x:c r="X31" s="24" t="str">
        <x:v>yes</x:v>
      </x:c>
      <x:c r="Y31" s="28" t="str">
        <x:f>IF(ISBLANK(P31),"Missing required value for K",IF(P31&lt;=0,"K must be greater than zero",IF(ISBLANK(N31),"Missing required value for r_avg",IF(OR(N31&lt;0,N31&gt;1),"r_avg must be between 0 and 1",IF(NOT(ISBLANK(Q31)),IF(Q31&lt;0,"W_peak must be non-negative",""),IF(ISBLANK(M31),"Missing required value for W_avg",IF(M31&lt;0,"W_avg must be non-negative",IF(ISBLANK(O31),"Missing required value for PF_shared",IF(O31&lt;1,"PF_shared must be at least 1","")))))))))</x:f>
        <x:v>Missing required value for r_avg</x:v>
      </x:c>
      <x:c r="Z31" s="24" t="str">
        <x:f>IF(X31="yes",IF(Y31&lt;&gt;"","PASS","FAIL"),IF(AND(Y31="",ABS(T31-V31)&lt;1E-9,ABS(U31-W31)&lt;1E-9),"PASS","FAIL"))</x:f>
        <x:v>PASS</x:v>
      </x:c>
    </x:row>
    <x:row r="32">
      <x:c r="A32" s="25" t="str">
        <x:v>WCI</x:v>
      </x:c>
      <x:c r="B32" s="25" t="str">
        <x:v>r</x:v>
      </x:c>
      <x:c r="C32" s="25" t="str">
        <x:v>increase</x:v>
      </x:c>
      <x:c r="D32" s="80" t="n">
        <x:v>0.5</x:v>
      </x:c>
      <x:c r="E32" s="36" t="n">
        <x:f>IF(C32="decrease",1-D32,1+D32)</x:f>
        <x:v>1.5</x:v>
      </x:c>
      <x:c r="F32" s="36" t="n">
        <x:f>IF(B32="K",1/E32,IF(AND(B32="r",A32="PDLR"),1,E32))</x:f>
        <x:v>1.5</x:v>
      </x:c>
      <x:c r="G32" s="38" t="n">
        <x:f>F32-1</x:f>
        <x:v>0.5</x:v>
      </x:c>
      <x:c r="H32" s="82" t="n">
        <x:f>IF(B32="K",-1,IF(AND(B32="r",A32="PDLR"),0,1))</x:f>
        <x:v>1</x:v>
      </x:c>
      <x:c r="I32" s="25" t="str">
        <x:f>IF(ABS(E32-1.5)+ABS(F32-1.5)+ABS(G32-0.5)+ABS(H32-1)&lt;1E-8,"PASS","FAIL")</x:f>
        <x:v>PASS</x:v>
      </x:c>
      <x:c r="J32" s="32"/>
      <x:c r="K32" s="25" t="str">
        <x:v>available_headroom</x:v>
      </x:c>
      <x:c r="L32" s="25" t="str">
        <x:v>gross_capacity_ratio</x:v>
      </x:c>
      <x:c r="M32" s="57"/>
      <x:c r="N32" s="57" t="n">
        <x:v>0.75</x:v>
      </x:c>
      <x:c r="O32" s="57"/>
      <x:c r="P32" s="57" t="n">
        <x:v>100</x:v>
      </x:c>
      <x:c r="Q32" s="57" t="n">
        <x:v>20</x:v>
      </x:c>
      <x:c r="R32" s="36" t="n">
        <x:f>IF(Y32&lt;&gt;"","",IF(NOT(ISBLANK(Q32)),Q32,M32*O32))</x:f>
        <x:v>20</x:v>
      </x:c>
      <x:c r="S32" s="36" t="n">
        <x:f>IF(R32="","",R32*N32)</x:f>
        <x:v>15</x:v>
      </x:c>
      <x:c r="T32" s="36" t="n">
        <x:f>IF(S32="","",S32/P32)</x:f>
        <x:v>0.15</x:v>
      </x:c>
      <x:c r="U32" s="36" t="n">
        <x:f>IF(R32="","",R32/P32)</x:f>
        <x:v>0.2</x:v>
      </x:c>
      <x:c r="V32" s="36" t="n">
        <x:v>0.15</x:v>
      </x:c>
      <x:c r="W32" s="36" t="n">
        <x:v>0.2</x:v>
      </x:c>
      <x:c r="X32" s="25" t="str">
        <x:v>no</x:v>
      </x:c>
      <x:c r="Y32" s="29" t="str">
        <x:f>IF(ISBLANK(P32),"Missing required value for K",IF(P32&lt;=0,"K must be greater than zero",IF(ISBLANK(N32),"Missing required value for r_avg",IF(OR(N32&lt;0,N32&gt;1),"r_avg must be between 0 and 1",IF(NOT(ISBLANK(Q32)),IF(Q32&lt;0,"W_peak must be non-negative",""),IF(ISBLANK(M32),"Missing required value for W_avg",IF(M32&lt;0,"W_avg must be non-negative",IF(ISBLANK(O32),"Missing required value for PF_shared",IF(O32&lt;1,"PF_shared must be at least 1","")))))))))</x:f>
      </x:c>
      <x:c r="Z32" s="25" t="str">
        <x:f>IF(X32="yes",IF(Y32&lt;&gt;"","PASS","FAIL"),IF(AND(Y32="",ABS(T32-V32)&lt;1E-9,ABS(U32-W32)&lt;1E-9),"PASS","FAIL"))</x:f>
        <x:v>PASS</x:v>
      </x:c>
    </x:row>
    <x:row r="33">
      <x:c r="A33" s="24" t="str">
        <x:v>WCI</x:v>
      </x:c>
      <x:c r="B33" s="24" t="str">
        <x:v>PF</x:v>
      </x:c>
      <x:c r="C33" s="24" t="str">
        <x:v>decrease</x:v>
      </x:c>
      <x:c r="D33" s="80" t="n">
        <x:v>0.1</x:v>
      </x:c>
      <x:c r="E33" s="35" t="n">
        <x:f>IF(C33="decrease",1-D33,1+D33)</x:f>
        <x:v>0.9</x:v>
      </x:c>
      <x:c r="F33" s="35" t="n">
        <x:f>IF(B33="K",1/E33,IF(AND(B33="r",A33="PDLR"),1,E33))</x:f>
        <x:v>0.9</x:v>
      </x:c>
      <x:c r="G33" s="37" t="n">
        <x:f>F33-1</x:f>
        <x:v>-0.09999999999999998</x:v>
      </x:c>
      <x:c r="H33" s="81" t="n">
        <x:f>IF(B33="K",-1,IF(AND(B33="r",A33="PDLR"),0,1))</x:f>
        <x:v>1</x:v>
      </x:c>
      <x:c r="I33" s="24" t="str">
        <x:f>IF(ABS(E33-0.9)+ABS(F33-0.9)+ABS(G33--0.1)+ABS(H33-1)&lt;1E-8,"PASS","FAIL")</x:f>
        <x:v>PASS</x:v>
      </x:c>
      <x:c r="J33" s="32"/>
      <x:c r="K33" s="24" t="str">
        <x:v>campus_aggregation</x:v>
      </x:c>
      <x:c r="L33" s="24" t="str">
        <x:v>noncoincident_lower_envelope</x:v>
      </x:c>
      <x:c r="M33" s="57"/>
      <x:c r="N33" s="57" t="n">
        <x:v>0.75</x:v>
      </x:c>
      <x:c r="O33" s="57"/>
      <x:c r="P33" s="57" t="n">
        <x:v>20</x:v>
      </x:c>
      <x:c r="Q33" s="57" t="n">
        <x:v>4</x:v>
      </x:c>
      <x:c r="R33" s="35" t="n">
        <x:f>IF(Y33&lt;&gt;"","",IF(NOT(ISBLANK(Q33)),Q33,M33*O33))</x:f>
        <x:v>4</x:v>
      </x:c>
      <x:c r="S33" s="35" t="n">
        <x:f>IF(R33="","",R33*N33)</x:f>
        <x:v>3</x:v>
      </x:c>
      <x:c r="T33" s="35" t="n">
        <x:f>IF(S33="","",S33/P33)</x:f>
        <x:v>0.15</x:v>
      </x:c>
      <x:c r="U33" s="35" t="n">
        <x:f>IF(R33="","",R33/P33)</x:f>
        <x:v>0.2</x:v>
      </x:c>
      <x:c r="V33" s="35" t="n">
        <x:v>0.15</x:v>
      </x:c>
      <x:c r="W33" s="35" t="n">
        <x:v>0.2</x:v>
      </x:c>
      <x:c r="X33" s="24" t="str">
        <x:v>no</x:v>
      </x:c>
      <x:c r="Y33" s="28" t="str">
        <x:f>IF(ISBLANK(P33),"Missing required value for K",IF(P33&lt;=0,"K must be greater than zero",IF(ISBLANK(N33),"Missing required value for r_avg",IF(OR(N33&lt;0,N33&gt;1),"r_avg must be between 0 and 1",IF(NOT(ISBLANK(Q33)),IF(Q33&lt;0,"W_peak must be non-negative",""),IF(ISBLANK(M33),"Missing required value for W_avg",IF(M33&lt;0,"W_avg must be non-negative",IF(ISBLANK(O33),"Missing required value for PF_shared",IF(O33&lt;1,"PF_shared must be at least 1","")))))))))</x:f>
      </x:c>
      <x:c r="Z33" s="24" t="str">
        <x:f>IF(X33="yes",IF(Y33&lt;&gt;"","PASS","FAIL"),IF(AND(Y33="",ABS(T33-V33)&lt;1E-9,ABS(U33-W33)&lt;1E-9),"PASS","FAIL"))</x:f>
        <x:v>PASS</x:v>
      </x:c>
    </x:row>
    <x:row r="34">
      <x:c r="A34" s="25" t="str">
        <x:v>WCI</x:v>
      </x:c>
      <x:c r="B34" s="25" t="str">
        <x:v>PF</x:v>
      </x:c>
      <x:c r="C34" s="25" t="str">
        <x:v>increase</x:v>
      </x:c>
      <x:c r="D34" s="80" t="n">
        <x:v>0.1</x:v>
      </x:c>
      <x:c r="E34" s="36" t="n">
        <x:f>IF(C34="decrease",1-D34,1+D34)</x:f>
        <x:v>1.1</x:v>
      </x:c>
      <x:c r="F34" s="36" t="n">
        <x:f>IF(B34="K",1/E34,IF(AND(B34="r",A34="PDLR"),1,E34))</x:f>
        <x:v>1.1</x:v>
      </x:c>
      <x:c r="G34" s="38" t="n">
        <x:f>F34-1</x:f>
        <x:v>0.10000000000000009</x:v>
      </x:c>
      <x:c r="H34" s="82" t="n">
        <x:f>IF(B34="K",-1,IF(AND(B34="r",A34="PDLR"),0,1))</x:f>
        <x:v>1</x:v>
      </x:c>
      <x:c r="I34" s="25" t="str">
        <x:f>IF(ABS(E34-1.1)+ABS(F34-1.1)+ABS(G34-0.1)+ABS(H34-1)&lt;1E-8,"PASS","FAIL")</x:f>
        <x:v>PASS</x:v>
      </x:c>
      <x:c r="J34" s="32"/>
      <x:c r="K34" s="25" t="str">
        <x:v>campus_aggregation</x:v>
      </x:c>
      <x:c r="L34" s="25" t="str">
        <x:v>coincident_upper_envelope</x:v>
      </x:c>
      <x:c r="M34" s="57"/>
      <x:c r="N34" s="57" t="n">
        <x:v>0.75</x:v>
      </x:c>
      <x:c r="O34" s="57"/>
      <x:c r="P34" s="57" t="n">
        <x:v>20</x:v>
      </x:c>
      <x:c r="Q34" s="57" t="n">
        <x:v>7</x:v>
      </x:c>
      <x:c r="R34" s="36" t="n">
        <x:f>IF(Y34&lt;&gt;"","",IF(NOT(ISBLANK(Q34)),Q34,M34*O34))</x:f>
        <x:v>7</x:v>
      </x:c>
      <x:c r="S34" s="36" t="n">
        <x:f>IF(R34="","",R34*N34)</x:f>
        <x:v>5.25</x:v>
      </x:c>
      <x:c r="T34" s="36" t="n">
        <x:f>IF(S34="","",S34/P34)</x:f>
        <x:v>0.2625</x:v>
      </x:c>
      <x:c r="U34" s="36" t="n">
        <x:f>IF(R34="","",R34/P34)</x:f>
        <x:v>0.35</x:v>
      </x:c>
      <x:c r="V34" s="36" t="n">
        <x:v>0.2625</x:v>
      </x:c>
      <x:c r="W34" s="36" t="n">
        <x:v>0.35</x:v>
      </x:c>
      <x:c r="X34" s="25" t="str">
        <x:v>no</x:v>
      </x:c>
      <x:c r="Y34" s="29" t="str">
        <x:f>IF(ISBLANK(P34),"Missing required value for K",IF(P34&lt;=0,"K must be greater than zero",IF(ISBLANK(N34),"Missing required value for r_avg",IF(OR(N34&lt;0,N34&gt;1),"r_avg must be between 0 and 1",IF(NOT(ISBLANK(Q34)),IF(Q34&lt;0,"W_peak must be non-negative",""),IF(ISBLANK(M34),"Missing required value for W_avg",IF(M34&lt;0,"W_avg must be non-negative",IF(ISBLANK(O34),"Missing required value for PF_shared",IF(O34&lt;1,"PF_shared must be at least 1","")))))))))</x:f>
      </x:c>
      <x:c r="Z34" s="25" t="str">
        <x:f>IF(X34="yes",IF(Y34&lt;&gt;"","PASS","FAIL"),IF(AND(Y34="",ABS(T34-V34)&lt;1E-9,ABS(U34-W34)&lt;1E-9),"PASS","FAIL"))</x:f>
        <x:v>PASS</x:v>
      </x:c>
    </x:row>
    <x:row r="35">
      <x:c r="A35" s="24" t="str">
        <x:v>WCI</x:v>
      </x:c>
      <x:c r="B35" s="24" t="str">
        <x:v>PF</x:v>
      </x:c>
      <x:c r="C35" s="24" t="str">
        <x:v>decrease</x:v>
      </x:c>
      <x:c r="D35" s="80" t="n">
        <x:v>0.25</x:v>
      </x:c>
      <x:c r="E35" s="35" t="n">
        <x:f>IF(C35="decrease",1-D35,1+D35)</x:f>
        <x:v>0.75</x:v>
      </x:c>
      <x:c r="F35" s="35" t="n">
        <x:f>IF(B35="K",1/E35,IF(AND(B35="r",A35="PDLR"),1,E35))</x:f>
        <x:v>0.75</x:v>
      </x:c>
      <x:c r="G35" s="37" t="n">
        <x:f>F35-1</x:f>
        <x:v>-0.25</x:v>
      </x:c>
      <x:c r="H35" s="81" t="n">
        <x:f>IF(B35="K",-1,IF(AND(B35="r",A35="PDLR"),0,1))</x:f>
        <x:v>1</x:v>
      </x:c>
      <x:c r="I35" s="24" t="str">
        <x:f>IF(ABS(E35-0.75)+ABS(F35-0.75)+ABS(G35--0.25)+ABS(H35-1)&lt;1E-8,"PASS","FAIL")</x:f>
        <x:v>PASS</x:v>
      </x:c>
      <x:c r="J35" s="32"/>
      <x:c r="K35" s="24" t="str">
        <x:v>growth_decoupling</x:v>
      </x:c>
      <x:c r="L35" s="24" t="str">
        <x:v>load_up_20_wue_down_20</x:v>
      </x:c>
      <x:c r="M35" s="57" t="n">
        <x:v>9.6</x:v>
      </x:c>
      <x:c r="N35" s="57" t="n">
        <x:v>0.75</x:v>
      </x:c>
      <x:c r="O35" s="57" t="n">
        <x:v>2</x:v>
      </x:c>
      <x:c r="P35" s="57" t="n">
        <x:v>100</x:v>
      </x:c>
      <x:c r="Q35" s="57"/>
      <x:c r="R35" s="35" t="n">
        <x:f>IF(Y35&lt;&gt;"","",IF(NOT(ISBLANK(Q35)),Q35,M35*O35))</x:f>
        <x:v>19.2</x:v>
      </x:c>
      <x:c r="S35" s="35" t="n">
        <x:f>IF(R35="","",R35*N35)</x:f>
        <x:v>14.399999999999999</x:v>
      </x:c>
      <x:c r="T35" s="35" t="n">
        <x:f>IF(S35="","",S35/P35)</x:f>
        <x:v>0.144</x:v>
      </x:c>
      <x:c r="U35" s="35" t="n">
        <x:f>IF(R35="","",R35/P35)</x:f>
        <x:v>0.192</x:v>
      </x:c>
      <x:c r="V35" s="35" t="n">
        <x:v>0.144</x:v>
      </x:c>
      <x:c r="W35" s="35" t="n">
        <x:v>0.192</x:v>
      </x:c>
      <x:c r="X35" s="24" t="str">
        <x:v>no</x:v>
      </x:c>
      <x:c r="Y35" s="28" t="str">
        <x:f>IF(ISBLANK(P35),"Missing required value for K",IF(P35&lt;=0,"K must be greater than zero",IF(ISBLANK(N35),"Missing required value for r_avg",IF(OR(N35&lt;0,N35&gt;1),"r_avg must be between 0 and 1",IF(NOT(ISBLANK(Q35)),IF(Q35&lt;0,"W_peak must be non-negative",""),IF(ISBLANK(M35),"Missing required value for W_avg",IF(M35&lt;0,"W_avg must be non-negative",IF(ISBLANK(O35),"Missing required value for PF_shared",IF(O35&lt;1,"PF_shared must be at least 1","")))))))))</x:f>
      </x:c>
      <x:c r="Z35" s="24" t="str">
        <x:f>IF(X35="yes",IF(Y35&lt;&gt;"","PASS","FAIL"),IF(AND(Y35="",ABS(T35-V35)&lt;1E-9,ABS(U35-W35)&lt;1E-9),"PASS","FAIL"))</x:f>
        <x:v>PASS</x:v>
      </x:c>
    </x:row>
    <x:row r="36">
      <x:c r="A36" s="25" t="str">
        <x:v>WCI</x:v>
      </x:c>
      <x:c r="B36" s="25" t="str">
        <x:v>PF</x:v>
      </x:c>
      <x:c r="C36" s="25" t="str">
        <x:v>increase</x:v>
      </x:c>
      <x:c r="D36" s="80" t="n">
        <x:v>0.25</x:v>
      </x:c>
      <x:c r="E36" s="36" t="n">
        <x:f>IF(C36="decrease",1-D36,1+D36)</x:f>
        <x:v>1.25</x:v>
      </x:c>
      <x:c r="F36" s="36" t="n">
        <x:f>IF(B36="K",1/E36,IF(AND(B36="r",A36="PDLR"),1,E36))</x:f>
        <x:v>1.25</x:v>
      </x:c>
      <x:c r="G36" s="38" t="n">
        <x:f>F36-1</x:f>
        <x:v>0.25</x:v>
      </x:c>
      <x:c r="H36" s="82" t="n">
        <x:f>IF(B36="K",-1,IF(AND(B36="r",A36="PDLR"),0,1))</x:f>
        <x:v>1</x:v>
      </x:c>
      <x:c r="I36" s="25" t="str">
        <x:f>IF(ABS(E36-1.25)+ABS(F36-1.25)+ABS(G36-0.25)+ABS(H36-1)&lt;1E-8,"PASS","FAIL")</x:f>
        <x:v>PASS</x:v>
      </x:c>
      <x:c r="J36" s="32"/>
      <x:c r="K36" s="25" t="str">
        <x:v>rank_reversal</x:v>
      </x:c>
      <x:c r="L36" s="25" t="str">
        <x:v>site_A_baseline</x:v>
      </x:c>
      <x:c r="M36" s="57" t="n">
        <x:v>4</x:v>
      </x:c>
      <x:c r="N36" s="57" t="n">
        <x:v>0.75</x:v>
      </x:c>
      <x:c r="O36" s="57" t="n">
        <x:v>2</x:v>
      </x:c>
      <x:c r="P36" s="57" t="n">
        <x:v>10</x:v>
      </x:c>
      <x:c r="Q36" s="57"/>
      <x:c r="R36" s="36" t="n">
        <x:f>IF(Y36&lt;&gt;"","",IF(NOT(ISBLANK(Q36)),Q36,M36*O36))</x:f>
        <x:v>8</x:v>
      </x:c>
      <x:c r="S36" s="36" t="n">
        <x:f>IF(R36="","",R36*N36)</x:f>
        <x:v>6</x:v>
      </x:c>
      <x:c r="T36" s="36" t="n">
        <x:f>IF(S36="","",S36/P36)</x:f>
        <x:v>0.6</x:v>
      </x:c>
      <x:c r="U36" s="36" t="n">
        <x:f>IF(R36="","",R36/P36)</x:f>
        <x:v>0.8</x:v>
      </x:c>
      <x:c r="V36" s="36" t="n">
        <x:v>0.6</x:v>
      </x:c>
      <x:c r="W36" s="36" t="n">
        <x:v>0.8</x:v>
      </x:c>
      <x:c r="X36" s="25" t="str">
        <x:v>no</x:v>
      </x:c>
      <x:c r="Y36" s="29" t="str">
        <x:f>IF(ISBLANK(P36),"Missing required value for K",IF(P36&lt;=0,"K must be greater than zero",IF(ISBLANK(N36),"Missing required value for r_avg",IF(OR(N36&lt;0,N36&gt;1),"r_avg must be between 0 and 1",IF(NOT(ISBLANK(Q36)),IF(Q36&lt;0,"W_peak must be non-negative",""),IF(ISBLANK(M36),"Missing required value for W_avg",IF(M36&lt;0,"W_avg must be non-negative",IF(ISBLANK(O36),"Missing required value for PF_shared",IF(O36&lt;1,"PF_shared must be at least 1","")))))))))</x:f>
      </x:c>
      <x:c r="Z36" s="25" t="str">
        <x:f>IF(X36="yes",IF(Y36&lt;&gt;"","PASS","FAIL"),IF(AND(Y36="",ABS(T36-V36)&lt;1E-9,ABS(U36-W36)&lt;1E-9),"PASS","FAIL"))</x:f>
        <x:v>PASS</x:v>
      </x:c>
    </x:row>
    <x:row r="37">
      <x:c r="A37" s="24" t="str">
        <x:v>WCI</x:v>
      </x:c>
      <x:c r="B37" s="24" t="str">
        <x:v>PF</x:v>
      </x:c>
      <x:c r="C37" s="24" t="str">
        <x:v>decrease</x:v>
      </x:c>
      <x:c r="D37" s="80" t="n">
        <x:v>0.5</x:v>
      </x:c>
      <x:c r="E37" s="35" t="n">
        <x:f>IF(C37="decrease",1-D37,1+D37)</x:f>
        <x:v>0.5</x:v>
      </x:c>
      <x:c r="F37" s="35" t="n">
        <x:f>IF(B37="K",1/E37,IF(AND(B37="r",A37="PDLR"),1,E37))</x:f>
        <x:v>0.5</x:v>
      </x:c>
      <x:c r="G37" s="37" t="n">
        <x:f>F37-1</x:f>
        <x:v>-0.5</x:v>
      </x:c>
      <x:c r="H37" s="81" t="n">
        <x:f>IF(B37="K",-1,IF(AND(B37="r",A37="PDLR"),0,1))</x:f>
        <x:v>1</x:v>
      </x:c>
      <x:c r="I37" s="24" t="str">
        <x:f>IF(ABS(E37-0.5)+ABS(F37-0.5)+ABS(G37--0.5)+ABS(H37-1)&lt;1E-8,"PASS","FAIL")</x:f>
        <x:v>PASS</x:v>
      </x:c>
      <x:c r="J37" s="32"/>
      <x:c r="K37" s="24" t="str">
        <x:v>rank_reversal</x:v>
      </x:c>
      <x:c r="L37" s="24" t="str">
        <x:v>site_B_baseline</x:v>
      </x:c>
      <x:c r="M37" s="57" t="n">
        <x:v>3.8</x:v>
      </x:c>
      <x:c r="N37" s="57" t="n">
        <x:v>0.75</x:v>
      </x:c>
      <x:c r="O37" s="57" t="n">
        <x:v>2</x:v>
      </x:c>
      <x:c r="P37" s="57" t="n">
        <x:v>10</x:v>
      </x:c>
      <x:c r="Q37" s="57"/>
      <x:c r="R37" s="35" t="n">
        <x:f>IF(Y37&lt;&gt;"","",IF(NOT(ISBLANK(Q37)),Q37,M37*O37))</x:f>
        <x:v>7.6</x:v>
      </x:c>
      <x:c r="S37" s="35" t="n">
        <x:f>IF(R37="","",R37*N37)</x:f>
        <x:v>5.699999999999999</x:v>
      </x:c>
      <x:c r="T37" s="35" t="n">
        <x:f>IF(S37="","",S37/P37)</x:f>
        <x:v>0.57</x:v>
      </x:c>
      <x:c r="U37" s="35" t="n">
        <x:f>IF(R37="","",R37/P37)</x:f>
        <x:v>0.76</x:v>
      </x:c>
      <x:c r="V37" s="35" t="n">
        <x:v>0.57</x:v>
      </x:c>
      <x:c r="W37" s="35" t="n">
        <x:v>0.76</x:v>
      </x:c>
      <x:c r="X37" s="24" t="str">
        <x:v>no</x:v>
      </x:c>
      <x:c r="Y37" s="28" t="str">
        <x:f>IF(ISBLANK(P37),"Missing required value for K",IF(P37&lt;=0,"K must be greater than zero",IF(ISBLANK(N37),"Missing required value for r_avg",IF(OR(N37&lt;0,N37&gt;1),"r_avg must be between 0 and 1",IF(NOT(ISBLANK(Q37)),IF(Q37&lt;0,"W_peak must be non-negative",""),IF(ISBLANK(M37),"Missing required value for W_avg",IF(M37&lt;0,"W_avg must be non-negative",IF(ISBLANK(O37),"Missing required value for PF_shared",IF(O37&lt;1,"PF_shared must be at least 1","")))))))))</x:f>
      </x:c>
      <x:c r="Z37" s="24" t="str">
        <x:f>IF(X37="yes",IF(Y37&lt;&gt;"","PASS","FAIL"),IF(AND(Y37="",ABS(T37-V37)&lt;1E-9,ABS(U37-W37)&lt;1E-9),"PASS","FAIL"))</x:f>
        <x:v>PASS</x:v>
      </x:c>
    </x:row>
    <x:row r="38">
      <x:c r="A38" s="25" t="str">
        <x:v>WCI</x:v>
      </x:c>
      <x:c r="B38" s="25" t="str">
        <x:v>PF</x:v>
      </x:c>
      <x:c r="C38" s="25" t="str">
        <x:v>increase</x:v>
      </x:c>
      <x:c r="D38" s="80" t="n">
        <x:v>0.5</x:v>
      </x:c>
      <x:c r="E38" s="36" t="n">
        <x:f>IF(C38="decrease",1-D38,1+D38)</x:f>
        <x:v>1.5</x:v>
      </x:c>
      <x:c r="F38" s="36" t="n">
        <x:f>IF(B38="K",1/E38,IF(AND(B38="r",A38="PDLR"),1,E38))</x:f>
        <x:v>1.5</x:v>
      </x:c>
      <x:c r="G38" s="38" t="n">
        <x:f>F38-1</x:f>
        <x:v>0.5</x:v>
      </x:c>
      <x:c r="H38" s="82" t="n">
        <x:f>IF(B38="K",-1,IF(AND(B38="r",A38="PDLR"),0,1))</x:f>
        <x:v>1</x:v>
      </x:c>
      <x:c r="I38" s="25" t="str">
        <x:f>IF(ABS(E38-1.5)+ABS(F38-1.5)+ABS(G38-0.5)+ABS(H38-1)&lt;1E-8,"PASS","FAIL")</x:f>
        <x:v>PASS</x:v>
      </x:c>
      <x:c r="J38" s="32"/>
      <x:c r="K38" s="25" t="str">
        <x:v>rank_reversal</x:v>
      </x:c>
      <x:c r="L38" s="25" t="str">
        <x:v>site_A_after_10pct_W_drop</x:v>
      </x:c>
      <x:c r="M38" s="57" t="n">
        <x:v>3.6</x:v>
      </x:c>
      <x:c r="N38" s="57" t="n">
        <x:v>0.75</x:v>
      </x:c>
      <x:c r="O38" s="57" t="n">
        <x:v>2</x:v>
      </x:c>
      <x:c r="P38" s="57" t="n">
        <x:v>10</x:v>
      </x:c>
      <x:c r="Q38" s="57"/>
      <x:c r="R38" s="36" t="n">
        <x:f>IF(Y38&lt;&gt;"","",IF(NOT(ISBLANK(Q38)),Q38,M38*O38))</x:f>
        <x:v>7.2</x:v>
      </x:c>
      <x:c r="S38" s="36" t="n">
        <x:f>IF(R38="","",R38*N38)</x:f>
        <x:v>5.4</x:v>
      </x:c>
      <x:c r="T38" s="36" t="n">
        <x:f>IF(S38="","",S38/P38)</x:f>
        <x:v>0.54</x:v>
      </x:c>
      <x:c r="U38" s="36" t="n">
        <x:f>IF(R38="","",R38/P38)</x:f>
        <x:v>0.72</x:v>
      </x:c>
      <x:c r="V38" s="36" t="n">
        <x:v>0.54</x:v>
      </x:c>
      <x:c r="W38" s="36" t="n">
        <x:v>0.72</x:v>
      </x:c>
      <x:c r="X38" s="25" t="str">
        <x:v>no</x:v>
      </x:c>
      <x:c r="Y38" s="29" t="str">
        <x:f>IF(ISBLANK(P38),"Missing required value for K",IF(P38&lt;=0,"K must be greater than zero",IF(ISBLANK(N38),"Missing required value for r_avg",IF(OR(N38&lt;0,N38&gt;1),"r_avg must be between 0 and 1",IF(NOT(ISBLANK(Q38)),IF(Q38&lt;0,"W_peak must be non-negative",""),IF(ISBLANK(M38),"Missing required value for W_avg",IF(M38&lt;0,"W_avg must be non-negative",IF(ISBLANK(O38),"Missing required value for PF_shared",IF(O38&lt;1,"PF_shared must be at least 1","")))))))))</x:f>
      </x:c>
      <x:c r="Z38" s="25" t="str">
        <x:f>IF(X38="yes",IF(Y38&lt;&gt;"","PASS","FAIL"),IF(AND(Y38="",ABS(T38-V38)&lt;1E-9,ABS(U38-W38)&lt;1E-9),"PASS","FAIL"))</x:f>
        <x:v>PASS</x:v>
      </x:c>
    </x:row>
    <x:row r="39">
      <x:c r="A39" s="24" t="str">
        <x:v>WCI</x:v>
      </x:c>
      <x:c r="B39" s="24" t="str">
        <x:v>K</x:v>
      </x:c>
      <x:c r="C39" s="24" t="str">
        <x:v>decrease</x:v>
      </x:c>
      <x:c r="D39" s="80" t="n">
        <x:v>0.1</x:v>
      </x:c>
      <x:c r="E39" s="35" t="n">
        <x:f>IF(C39="decrease",1-D39,1+D39)</x:f>
        <x:v>0.9</x:v>
      </x:c>
      <x:c r="F39" s="35" t="n">
        <x:f>IF(B39="K",1/E39,IF(AND(B39="r",A39="PDLR"),1,E39))</x:f>
        <x:v>1.1111111111111112</x:v>
      </x:c>
      <x:c r="G39" s="37" t="n">
        <x:f>F39-1</x:f>
        <x:v>0.11111111111111116</x:v>
      </x:c>
      <x:c r="H39" s="81" t="n">
        <x:f>IF(B39="K",-1,IF(AND(B39="r",A39="PDLR"),0,1))</x:f>
        <x:v>-1</x:v>
      </x:c>
      <x:c r="I39" s="24" t="str">
        <x:f>IF(ABS(E39-0.9)+ABS(F39-1.11111111111)+ABS(G39-0.111111111111)+ABS(H39--1)&lt;1E-8,"PASS","FAIL")</x:f>
        <x:v>PASS</x:v>
      </x:c>
      <x:c r="J39" s="32"/>
      <x:c r="K39" s="24" t="str">
        <x:v>missingness</x:v>
      </x:c>
      <x:c r="L39" s="24" t="str">
        <x:v>missing_K</x:v>
      </x:c>
      <x:c r="M39" s="57" t="n">
        <x:v>10</x:v>
      </x:c>
      <x:c r="N39" s="57" t="n">
        <x:v>0.75</x:v>
      </x:c>
      <x:c r="O39" s="57" t="n">
        <x:v>2</x:v>
      </x:c>
      <x:c r="P39" s="57"/>
      <x:c r="Q39" s="57"/>
      <x:c r="R39" s="35" t="str">
        <x:f>IF(Y39&lt;&gt;"","",IF(NOT(ISBLANK(Q39)),Q39,M39*O39))</x:f>
      </x:c>
      <x:c r="S39" s="35" t="str">
        <x:f>IF(R39="","",R39*N39)</x:f>
      </x:c>
      <x:c r="T39" s="35" t="str">
        <x:f>IF(S39="","",S39/P39)</x:f>
      </x:c>
      <x:c r="U39" s="35" t="str">
        <x:f>IF(R39="","",R39/P39)</x:f>
      </x:c>
      <x:c r="V39" s="35"/>
      <x:c r="W39" s="35"/>
      <x:c r="X39" s="24" t="str">
        <x:v>yes</x:v>
      </x:c>
      <x:c r="Y39" s="28" t="str">
        <x:f>IF(ISBLANK(P39),"Missing required value for K",IF(P39&lt;=0,"K must be greater than zero",IF(ISBLANK(N39),"Missing required value for r_avg",IF(OR(N39&lt;0,N39&gt;1),"r_avg must be between 0 and 1",IF(NOT(ISBLANK(Q39)),IF(Q39&lt;0,"W_peak must be non-negative",""),IF(ISBLANK(M39),"Missing required value for W_avg",IF(M39&lt;0,"W_avg must be non-negative",IF(ISBLANK(O39),"Missing required value for PF_shared",IF(O39&lt;1,"PF_shared must be at least 1","")))))))))</x:f>
        <x:v>Missing required value for K</x:v>
      </x:c>
      <x:c r="Z39" s="24" t="str">
        <x:f>IF(X39="yes",IF(Y39&lt;&gt;"","PASS","FAIL"),IF(AND(Y39="",ABS(T39-V39)&lt;1E-9,ABS(U39-W39)&lt;1E-9),"PASS","FAIL"))</x:f>
        <x:v>PASS</x:v>
      </x:c>
    </x:row>
    <x:row r="40">
      <x:c r="A40" s="25" t="str">
        <x:v>WCI</x:v>
      </x:c>
      <x:c r="B40" s="25" t="str">
        <x:v>K</x:v>
      </x:c>
      <x:c r="C40" s="25" t="str">
        <x:v>increase</x:v>
      </x:c>
      <x:c r="D40" s="80" t="n">
        <x:v>0.1</x:v>
      </x:c>
      <x:c r="E40" s="36" t="n">
        <x:f>IF(C40="decrease",1-D40,1+D40)</x:f>
        <x:v>1.1</x:v>
      </x:c>
      <x:c r="F40" s="36" t="n">
        <x:f>IF(B40="K",1/E40,IF(AND(B40="r",A40="PDLR"),1,E40))</x:f>
        <x:v>0.9090909090909091</x:v>
      </x:c>
      <x:c r="G40" s="38" t="n">
        <x:f>F40-1</x:f>
        <x:v>-0.09090909090909094</x:v>
      </x:c>
      <x:c r="H40" s="82" t="n">
        <x:f>IF(B40="K",-1,IF(AND(B40="r",A40="PDLR"),0,1))</x:f>
        <x:v>-1</x:v>
      </x:c>
      <x:c r="I40" s="25" t="str">
        <x:f>IF(ABS(E40-1.1)+ABS(F40-0.909090909091)+ABS(G40--0.09090909090909999)+ABS(H40--1)&lt;1E-8,"PASS","FAIL")</x:f>
        <x:v>PASS</x:v>
      </x:c>
      <x:c r="J40" s="32"/>
      <x:c r="K40" s="25" t="str">
        <x:v>invalid_input</x:v>
      </x:c>
      <x:c r="L40" s="25" t="str">
        <x:v>r_above_one</x:v>
      </x:c>
      <x:c r="M40" s="57" t="n">
        <x:v>10</x:v>
      </x:c>
      <x:c r="N40" s="57" t="n">
        <x:v>1.1</x:v>
      </x:c>
      <x:c r="O40" s="57" t="n">
        <x:v>2</x:v>
      </x:c>
      <x:c r="P40" s="57" t="n">
        <x:v>100</x:v>
      </x:c>
      <x:c r="Q40" s="57"/>
      <x:c r="R40" s="36" t="str">
        <x:f>IF(Y40&lt;&gt;"","",IF(NOT(ISBLANK(Q40)),Q40,M40*O40))</x:f>
      </x:c>
      <x:c r="S40" s="36" t="str">
        <x:f>IF(R40="","",R40*N40)</x:f>
      </x:c>
      <x:c r="T40" s="36" t="str">
        <x:f>IF(S40="","",S40/P40)</x:f>
      </x:c>
      <x:c r="U40" s="36" t="str">
        <x:f>IF(R40="","",R40/P40)</x:f>
      </x:c>
      <x:c r="V40" s="36"/>
      <x:c r="W40" s="36"/>
      <x:c r="X40" s="25" t="str">
        <x:v>yes</x:v>
      </x:c>
      <x:c r="Y40" s="29" t="str">
        <x:f>IF(ISBLANK(P40),"Missing required value for K",IF(P40&lt;=0,"K must be greater than zero",IF(ISBLANK(N40),"Missing required value for r_avg",IF(OR(N40&lt;0,N40&gt;1),"r_avg must be between 0 and 1",IF(NOT(ISBLANK(Q40)),IF(Q40&lt;0,"W_peak must be non-negative",""),IF(ISBLANK(M40),"Missing required value for W_avg",IF(M40&lt;0,"W_avg must be non-negative",IF(ISBLANK(O40),"Missing required value for PF_shared",IF(O40&lt;1,"PF_shared must be at least 1","")))))))))</x:f>
        <x:v>r_avg must be between 0 and 1</x:v>
      </x:c>
      <x:c r="Z40" s="25" t="str">
        <x:f>IF(X40="yes",IF(Y40&lt;&gt;"","PASS","FAIL"),IF(AND(Y40="",ABS(T40-V40)&lt;1E-9,ABS(U40-W40)&lt;1E-9),"PASS","FAIL"))</x:f>
        <x:v>PASS</x:v>
      </x:c>
    </x:row>
    <x:row r="41">
      <x:c r="A41" s="24" t="str">
        <x:v>WCI</x:v>
      </x:c>
      <x:c r="B41" s="24" t="str">
        <x:v>K</x:v>
      </x:c>
      <x:c r="C41" s="24" t="str">
        <x:v>decrease</x:v>
      </x:c>
      <x:c r="D41" s="80" t="n">
        <x:v>0.25</x:v>
      </x:c>
      <x:c r="E41" s="35" t="n">
        <x:f>IF(C41="decrease",1-D41,1+D41)</x:f>
        <x:v>0.75</x:v>
      </x:c>
      <x:c r="F41" s="35" t="n">
        <x:f>IF(B41="K",1/E41,IF(AND(B41="r",A41="PDLR"),1,E41))</x:f>
        <x:v>1.3333333333333333</x:v>
      </x:c>
      <x:c r="G41" s="37" t="n">
        <x:f>F41-1</x:f>
        <x:v>0.33333333333333326</x:v>
      </x:c>
      <x:c r="H41" s="81" t="n">
        <x:f>IF(B41="K",-1,IF(AND(B41="r",A41="PDLR"),0,1))</x:f>
        <x:v>-1</x:v>
      </x:c>
      <x:c r="I41" s="24" t="str">
        <x:f>IF(ABS(E41-0.75)+ABS(F41-1.33333333333)+ABS(G41-0.33333333333299997)+ABS(H41--1)&lt;1E-8,"PASS","FAIL")</x:f>
        <x:v>PASS</x:v>
      </x:c>
      <x:c r="J41" s="32"/>
      <x:c r="K41" s="24" t="str">
        <x:v>invalid_input</x:v>
      </x:c>
      <x:c r="L41" s="24" t="str">
        <x:v>pf_below_one</x:v>
      </x:c>
      <x:c r="M41" s="57" t="n">
        <x:v>10</x:v>
      </x:c>
      <x:c r="N41" s="57" t="n">
        <x:v>0.75</x:v>
      </x:c>
      <x:c r="O41" s="57" t="n">
        <x:v>0.5</x:v>
      </x:c>
      <x:c r="P41" s="57" t="n">
        <x:v>100</x:v>
      </x:c>
      <x:c r="Q41" s="57"/>
      <x:c r="R41" s="35" t="str">
        <x:f>IF(Y41&lt;&gt;"","",IF(NOT(ISBLANK(Q41)),Q41,M41*O41))</x:f>
      </x:c>
      <x:c r="S41" s="35" t="str">
        <x:f>IF(R41="","",R41*N41)</x:f>
      </x:c>
      <x:c r="T41" s="35" t="str">
        <x:f>IF(S41="","",S41/P41)</x:f>
      </x:c>
      <x:c r="U41" s="35" t="str">
        <x:f>IF(R41="","",R41/P41)</x:f>
      </x:c>
      <x:c r="V41" s="35"/>
      <x:c r="W41" s="35"/>
      <x:c r="X41" s="24" t="str">
        <x:v>yes</x:v>
      </x:c>
      <x:c r="Y41" s="28" t="str">
        <x:f>IF(ISBLANK(P41),"Missing required value for K",IF(P41&lt;=0,"K must be greater than zero",IF(ISBLANK(N41),"Missing required value for r_avg",IF(OR(N41&lt;0,N41&gt;1),"r_avg must be between 0 and 1",IF(NOT(ISBLANK(Q41)),IF(Q41&lt;0,"W_peak must be non-negative",""),IF(ISBLANK(M41),"Missing required value for W_avg",IF(M41&lt;0,"W_avg must be non-negative",IF(ISBLANK(O41),"Missing required value for PF_shared",IF(O41&lt;1,"PF_shared must be at least 1","")))))))))</x:f>
        <x:v>PF_shared must be at least 1</x:v>
      </x:c>
      <x:c r="Z41" s="24" t="str">
        <x:f>IF(X41="yes",IF(Y41&lt;&gt;"","PASS","FAIL"),IF(AND(Y41="",ABS(T41-V41)&lt;1E-9,ABS(U41-W41)&lt;1E-9),"PASS","FAIL"))</x:f>
        <x:v>PASS</x:v>
      </x:c>
    </x:row>
    <x:row r="42">
      <x:c r="A42" s="25" t="str">
        <x:v>WCI</x:v>
      </x:c>
      <x:c r="B42" s="25" t="str">
        <x:v>K</x:v>
      </x:c>
      <x:c r="C42" s="25" t="str">
        <x:v>increase</x:v>
      </x:c>
      <x:c r="D42" s="80" t="n">
        <x:v>0.25</x:v>
      </x:c>
      <x:c r="E42" s="36" t="n">
        <x:f>IF(C42="decrease",1-D42,1+D42)</x:f>
        <x:v>1.25</x:v>
      </x:c>
      <x:c r="F42" s="36" t="n">
        <x:f>IF(B42="K",1/E42,IF(AND(B42="r",A42="PDLR"),1,E42))</x:f>
        <x:v>0.8</x:v>
      </x:c>
      <x:c r="G42" s="38" t="n">
        <x:f>F42-1</x:f>
        <x:v>-0.19999999999999996</x:v>
      </x:c>
      <x:c r="H42" s="82" t="n">
        <x:f>IF(B42="K",-1,IF(AND(B42="r",A42="PDLR"),0,1))</x:f>
        <x:v>-1</x:v>
      </x:c>
      <x:c r="I42" s="25" t="str">
        <x:f>IF(ABS(E42-1.25)+ABS(F42-0.8)+ABS(G42--0.2)+ABS(H42--1)&lt;1E-8,"PASS","FAIL")</x:f>
        <x:v>PASS</x:v>
      </x:c>
      <x:c r="J42" s="32"/>
      <x:c r="K42" s="25" t="str">
        <x:v>invalid_input</x:v>
      </x:c>
      <x:c r="L42" s="25" t="str">
        <x:v>zero_K</x:v>
      </x:c>
      <x:c r="M42" s="57" t="n">
        <x:v>10</x:v>
      </x:c>
      <x:c r="N42" s="57" t="n">
        <x:v>0.75</x:v>
      </x:c>
      <x:c r="O42" s="57" t="n">
        <x:v>2</x:v>
      </x:c>
      <x:c r="P42" s="57" t="n">
        <x:v>0</x:v>
      </x:c>
      <x:c r="Q42" s="57"/>
      <x:c r="R42" s="36" t="str">
        <x:f>IF(Y42&lt;&gt;"","",IF(NOT(ISBLANK(Q42)),Q42,M42*O42))</x:f>
      </x:c>
      <x:c r="S42" s="36" t="str">
        <x:f>IF(R42="","",R42*N42)</x:f>
      </x:c>
      <x:c r="T42" s="36" t="str">
        <x:f>IF(S42="","",S42/P42)</x:f>
      </x:c>
      <x:c r="U42" s="36" t="str">
        <x:f>IF(R42="","",R42/P42)</x:f>
      </x:c>
      <x:c r="V42" s="36"/>
      <x:c r="W42" s="36"/>
      <x:c r="X42" s="25" t="str">
        <x:v>yes</x:v>
      </x:c>
      <x:c r="Y42" s="29" t="str">
        <x:f>IF(ISBLANK(P42),"Missing required value for K",IF(P42&lt;=0,"K must be greater than zero",IF(ISBLANK(N42),"Missing required value for r_avg",IF(OR(N42&lt;0,N42&gt;1),"r_avg must be between 0 and 1",IF(NOT(ISBLANK(Q42)),IF(Q42&lt;0,"W_peak must be non-negative",""),IF(ISBLANK(M42),"Missing required value for W_avg",IF(M42&lt;0,"W_avg must be non-negative",IF(ISBLANK(O42),"Missing required value for PF_shared",IF(O42&lt;1,"PF_shared must be at least 1","")))))))))</x:f>
        <x:v>K must be greater than zero</x:v>
      </x:c>
      <x:c r="Z42" s="25" t="str">
        <x:f>IF(X42="yes",IF(Y42&lt;&gt;"","PASS","FAIL"),IF(AND(Y42="",ABS(T42-V42)&lt;1E-9,ABS(U42-W42)&lt;1E-9),"PASS","FAIL"))</x:f>
        <x:v>PASS</x:v>
      </x:c>
    </x:row>
    <x:row r="43">
      <x:c r="A43" s="24" t="str">
        <x:v>WCI</x:v>
      </x:c>
      <x:c r="B43" s="24" t="str">
        <x:v>K</x:v>
      </x:c>
      <x:c r="C43" s="24" t="str">
        <x:v>decrease</x:v>
      </x:c>
      <x:c r="D43" s="80" t="n">
        <x:v>0.5</x:v>
      </x:c>
      <x:c r="E43" s="35" t="n">
        <x:f>IF(C43="decrease",1-D43,1+D43)</x:f>
        <x:v>0.5</x:v>
      </x:c>
      <x:c r="F43" s="35" t="n">
        <x:f>IF(B43="K",1/E43,IF(AND(B43="r",A43="PDLR"),1,E43))</x:f>
        <x:v>2</x:v>
      </x:c>
      <x:c r="G43" s="37" t="n">
        <x:f>F43-1</x:f>
        <x:v>1</x:v>
      </x:c>
      <x:c r="H43" s="81" t="n">
        <x:f>IF(B43="K",-1,IF(AND(B43="r",A43="PDLR"),0,1))</x:f>
        <x:v>-1</x:v>
      </x:c>
      <x:c r="I43" s="24" t="str">
        <x:f>IF(ABS(E43-0.5)+ABS(F43-2)+ABS(G43-1)+ABS(H43--1)&lt;1E-8,"PASS","FAIL")</x:f>
        <x:v>PASS</x:v>
      </x:c>
      <x:c r="J43" s="32"/>
      <x:c r="K43" s="24" t="str">
        <x:v>invalid_input</x:v>
      </x:c>
      <x:c r="L43" s="24" t="str">
        <x:v>negative_W</x:v>
      </x:c>
      <x:c r="M43" s="57" t="n">
        <x:v>-1</x:v>
      </x:c>
      <x:c r="N43" s="57" t="n">
        <x:v>0.75</x:v>
      </x:c>
      <x:c r="O43" s="57" t="n">
        <x:v>2</x:v>
      </x:c>
      <x:c r="P43" s="57" t="n">
        <x:v>100</x:v>
      </x:c>
      <x:c r="Q43" s="57"/>
      <x:c r="R43" s="35" t="str">
        <x:f>IF(Y43&lt;&gt;"","",IF(NOT(ISBLANK(Q43)),Q43,M43*O43))</x:f>
      </x:c>
      <x:c r="S43" s="35" t="str">
        <x:f>IF(R43="","",R43*N43)</x:f>
      </x:c>
      <x:c r="T43" s="35" t="str">
        <x:f>IF(S43="","",S43/P43)</x:f>
      </x:c>
      <x:c r="U43" s="35" t="str">
        <x:f>IF(R43="","",R43/P43)</x:f>
      </x:c>
      <x:c r="V43" s="35"/>
      <x:c r="W43" s="35"/>
      <x:c r="X43" s="24" t="str">
        <x:v>yes</x:v>
      </x:c>
      <x:c r="Y43" s="28" t="str">
        <x:f>IF(ISBLANK(P43),"Missing required value for K",IF(P43&lt;=0,"K must be greater than zero",IF(ISBLANK(N43),"Missing required value for r_avg",IF(OR(N43&lt;0,N43&gt;1),"r_avg must be between 0 and 1",IF(NOT(ISBLANK(Q43)),IF(Q43&lt;0,"W_peak must be non-negative",""),IF(ISBLANK(M43),"Missing required value for W_avg",IF(M43&lt;0,"W_avg must be non-negative",IF(ISBLANK(O43),"Missing required value for PF_shared",IF(O43&lt;1,"PF_shared must be at least 1","")))))))))</x:f>
        <x:v>W_avg must be non-negative</x:v>
      </x:c>
      <x:c r="Z43" s="24" t="str">
        <x:f>IF(X43="yes",IF(Y43&lt;&gt;"","PASS","FAIL"),IF(AND(Y43="",ABS(T43-V43)&lt;1E-9,ABS(U43-W43)&lt;1E-9),"PASS","FAIL"))</x:f>
        <x:v>PASS</x:v>
      </x:c>
    </x:row>
    <x:row r="44">
      <x:c r="A44" s="25" t="str">
        <x:v>WCI</x:v>
      </x:c>
      <x:c r="B44" s="25" t="str">
        <x:v>K</x:v>
      </x:c>
      <x:c r="C44" s="25" t="str">
        <x:v>increase</x:v>
      </x:c>
      <x:c r="D44" s="80" t="n">
        <x:v>0.5</x:v>
      </x:c>
      <x:c r="E44" s="36" t="n">
        <x:f>IF(C44="decrease",1-D44,1+D44)</x:f>
        <x:v>1.5</x:v>
      </x:c>
      <x:c r="F44" s="36" t="n">
        <x:f>IF(B44="K",1/E44,IF(AND(B44="r",A44="PDLR"),1,E44))</x:f>
        <x:v>0.6666666666666666</x:v>
      </x:c>
      <x:c r="G44" s="38" t="n">
        <x:f>F44-1</x:f>
        <x:v>-0.33333333333333337</x:v>
      </x:c>
      <x:c r="H44" s="82" t="n">
        <x:f>IF(B44="K",-1,IF(AND(B44="r",A44="PDLR"),0,1))</x:f>
        <x:v>-1</x:v>
      </x:c>
      <x:c r="I44" s="25" t="str">
        <x:f>IF(ABS(E44-1.5)+ABS(F44-0.666666666667)+ABS(G44--0.33333333333299997)+ABS(H44--1)&lt;1E-8,"PASS","FAIL")</x:f>
        <x:v>PASS</x:v>
      </x:c>
      <x:c r="J44" s="32"/>
      <x:c r="K44" s="32"/>
      <x:c r="L44" s="32"/>
      <x:c r="M44" s="32"/>
      <x:c r="N44" s="32"/>
      <x:c r="O44" s="32"/>
      <x:c r="P44" s="32"/>
      <x:c r="Q44" s="32"/>
      <x:c r="R44" s="32"/>
      <x:c r="S44" s="32"/>
      <x:c r="T44" s="32"/>
      <x:c r="U44" s="32"/>
      <x:c r="V44" s="32"/>
      <x:c r="W44" s="32"/>
      <x:c r="X44" s="32"/>
      <x:c r="Y44" s="32"/>
      <x:c r="Z44" s="32"/>
    </x:row>
    <x:row r="45">
      <x:c r="A45" s="24" t="str">
        <x:v>PDLR</x:v>
      </x:c>
      <x:c r="B45" s="24" t="str">
        <x:v>W_or_peak</x:v>
      </x:c>
      <x:c r="C45" s="24" t="str">
        <x:v>decrease</x:v>
      </x:c>
      <x:c r="D45" s="80" t="n">
        <x:v>0.1</x:v>
      </x:c>
      <x:c r="E45" s="35" t="n">
        <x:f>IF(C45="decrease",1-D45,1+D45)</x:f>
        <x:v>0.9</x:v>
      </x:c>
      <x:c r="F45" s="35" t="n">
        <x:f>IF(B45="K",1/E45,IF(AND(B45="r",A45="PDLR"),1,E45))</x:f>
        <x:v>0.9</x:v>
      </x:c>
      <x:c r="G45" s="37" t="n">
        <x:f>F45-1</x:f>
        <x:v>-0.09999999999999998</x:v>
      </x:c>
      <x:c r="H45" s="81" t="n">
        <x:f>IF(B45="K",-1,IF(AND(B45="r",A45="PDLR"),0,1))</x:f>
        <x:v>1</x:v>
      </x:c>
      <x:c r="I45" s="24" t="str">
        <x:f>IF(ABS(E45-0.9)+ABS(F45-0.9)+ABS(G45--0.1)+ABS(H45-1)&lt;1E-8,"PASS","FAIL")</x:f>
        <x:v>PASS</x:v>
      </x:c>
      <x:c r="J45" s="32"/>
      <x:c r="K45" s="32"/>
      <x:c r="L45" s="32"/>
      <x:c r="M45" s="32"/>
      <x:c r="N45" s="32"/>
      <x:c r="O45" s="32"/>
      <x:c r="P45" s="32"/>
      <x:c r="Q45" s="32"/>
      <x:c r="R45" s="32"/>
      <x:c r="S45" s="32"/>
      <x:c r="T45" s="32"/>
      <x:c r="U45" s="32"/>
      <x:c r="V45" s="32"/>
      <x:c r="W45" s="32"/>
      <x:c r="X45" s="32"/>
      <x:c r="Y45" s="32"/>
      <x:c r="Z45" s="32"/>
    </x:row>
    <x:row r="46">
      <x:c r="A46" s="25" t="str">
        <x:v>PDLR</x:v>
      </x:c>
      <x:c r="B46" s="25" t="str">
        <x:v>W_or_peak</x:v>
      </x:c>
      <x:c r="C46" s="25" t="str">
        <x:v>increase</x:v>
      </x:c>
      <x:c r="D46" s="80" t="n">
        <x:v>0.1</x:v>
      </x:c>
      <x:c r="E46" s="36" t="n">
        <x:f>IF(C46="decrease",1-D46,1+D46)</x:f>
        <x:v>1.1</x:v>
      </x:c>
      <x:c r="F46" s="36" t="n">
        <x:f>IF(B46="K",1/E46,IF(AND(B46="r",A46="PDLR"),1,E46))</x:f>
        <x:v>1.1</x:v>
      </x:c>
      <x:c r="G46" s="38" t="n">
        <x:f>F46-1</x:f>
        <x:v>0.10000000000000009</x:v>
      </x:c>
      <x:c r="H46" s="82" t="n">
        <x:f>IF(B46="K",-1,IF(AND(B46="r",A46="PDLR"),0,1))</x:f>
        <x:v>1</x:v>
      </x:c>
      <x:c r="I46" s="25" t="str">
        <x:f>IF(ABS(E46-1.1)+ABS(F46-1.1)+ABS(G46-0.1)+ABS(H46-1)&lt;1E-8,"PASS","FAIL")</x:f>
        <x:v>PASS</x:v>
      </x:c>
      <x:c r="J46" s="32"/>
      <x:c r="K46" s="32"/>
      <x:c r="L46" s="32"/>
      <x:c r="M46" s="32"/>
      <x:c r="N46" s="32"/>
      <x:c r="O46" s="32"/>
      <x:c r="P46" s="32"/>
      <x:c r="Q46" s="32"/>
      <x:c r="R46" s="32"/>
      <x:c r="S46" s="32"/>
      <x:c r="T46" s="32"/>
      <x:c r="U46" s="32"/>
      <x:c r="V46" s="32"/>
      <x:c r="W46" s="32"/>
      <x:c r="X46" s="32"/>
      <x:c r="Y46" s="32"/>
      <x:c r="Z46" s="32"/>
    </x:row>
    <x:row r="47">
      <x:c r="A47" s="24" t="str">
        <x:v>PDLR</x:v>
      </x:c>
      <x:c r="B47" s="24" t="str">
        <x:v>W_or_peak</x:v>
      </x:c>
      <x:c r="C47" s="24" t="str">
        <x:v>decrease</x:v>
      </x:c>
      <x:c r="D47" s="80" t="n">
        <x:v>0.25</x:v>
      </x:c>
      <x:c r="E47" s="35" t="n">
        <x:f>IF(C47="decrease",1-D47,1+D47)</x:f>
        <x:v>0.75</x:v>
      </x:c>
      <x:c r="F47" s="35" t="n">
        <x:f>IF(B47="K",1/E47,IF(AND(B47="r",A47="PDLR"),1,E47))</x:f>
        <x:v>0.75</x:v>
      </x:c>
      <x:c r="G47" s="37" t="n">
        <x:f>F47-1</x:f>
        <x:v>-0.25</x:v>
      </x:c>
      <x:c r="H47" s="81" t="n">
        <x:f>IF(B47="K",-1,IF(AND(B47="r",A47="PDLR"),0,1))</x:f>
        <x:v>1</x:v>
      </x:c>
      <x:c r="I47" s="24" t="str">
        <x:f>IF(ABS(E47-0.75)+ABS(F47-0.75)+ABS(G47--0.25)+ABS(H47-1)&lt;1E-8,"PASS","FAIL")</x:f>
        <x:v>PASS</x:v>
      </x:c>
      <x:c r="J47" s="32"/>
      <x:c r="K47" s="32"/>
      <x:c r="L47" s="32"/>
      <x:c r="M47" s="32"/>
      <x:c r="N47" s="32"/>
      <x:c r="O47" s="32"/>
      <x:c r="P47" s="32"/>
      <x:c r="Q47" s="32"/>
      <x:c r="R47" s="32"/>
      <x:c r="S47" s="32"/>
      <x:c r="T47" s="32"/>
      <x:c r="U47" s="32"/>
      <x:c r="V47" s="32"/>
      <x:c r="W47" s="32"/>
      <x:c r="X47" s="32"/>
      <x:c r="Y47" s="32"/>
      <x:c r="Z47" s="32"/>
    </x:row>
    <x:row r="48">
      <x:c r="A48" s="25" t="str">
        <x:v>PDLR</x:v>
      </x:c>
      <x:c r="B48" s="25" t="str">
        <x:v>W_or_peak</x:v>
      </x:c>
      <x:c r="C48" s="25" t="str">
        <x:v>increase</x:v>
      </x:c>
      <x:c r="D48" s="80" t="n">
        <x:v>0.25</x:v>
      </x:c>
      <x:c r="E48" s="36" t="n">
        <x:f>IF(C48="decrease",1-D48,1+D48)</x:f>
        <x:v>1.25</x:v>
      </x:c>
      <x:c r="F48" s="36" t="n">
        <x:f>IF(B48="K",1/E48,IF(AND(B48="r",A48="PDLR"),1,E48))</x:f>
        <x:v>1.25</x:v>
      </x:c>
      <x:c r="G48" s="38" t="n">
        <x:f>F48-1</x:f>
        <x:v>0.25</x:v>
      </x:c>
      <x:c r="H48" s="82" t="n">
        <x:f>IF(B48="K",-1,IF(AND(B48="r",A48="PDLR"),0,1))</x:f>
        <x:v>1</x:v>
      </x:c>
      <x:c r="I48" s="25" t="str">
        <x:f>IF(ABS(E48-1.25)+ABS(F48-1.25)+ABS(G48-0.25)+ABS(H48-1)&lt;1E-8,"PASS","FAIL")</x:f>
        <x:v>PASS</x:v>
      </x:c>
      <x:c r="J48" s="32"/>
      <x:c r="K48" s="32"/>
      <x:c r="L48" s="32"/>
      <x:c r="M48" s="32"/>
      <x:c r="N48" s="32"/>
      <x:c r="O48" s="32"/>
      <x:c r="P48" s="32"/>
      <x:c r="Q48" s="32"/>
      <x:c r="R48" s="32"/>
      <x:c r="S48" s="32"/>
      <x:c r="T48" s="32"/>
      <x:c r="U48" s="32"/>
      <x:c r="V48" s="32"/>
      <x:c r="W48" s="32"/>
      <x:c r="X48" s="32"/>
      <x:c r="Y48" s="32"/>
      <x:c r="Z48" s="32"/>
    </x:row>
    <x:row r="49">
      <x:c r="A49" s="24" t="str">
        <x:v>PDLR</x:v>
      </x:c>
      <x:c r="B49" s="24" t="str">
        <x:v>W_or_peak</x:v>
      </x:c>
      <x:c r="C49" s="24" t="str">
        <x:v>decrease</x:v>
      </x:c>
      <x:c r="D49" s="80" t="n">
        <x:v>0.5</x:v>
      </x:c>
      <x:c r="E49" s="35" t="n">
        <x:f>IF(C49="decrease",1-D49,1+D49)</x:f>
        <x:v>0.5</x:v>
      </x:c>
      <x:c r="F49" s="35" t="n">
        <x:f>IF(B49="K",1/E49,IF(AND(B49="r",A49="PDLR"),1,E49))</x:f>
        <x:v>0.5</x:v>
      </x:c>
      <x:c r="G49" s="37" t="n">
        <x:f>F49-1</x:f>
        <x:v>-0.5</x:v>
      </x:c>
      <x:c r="H49" s="81" t="n">
        <x:f>IF(B49="K",-1,IF(AND(B49="r",A49="PDLR"),0,1))</x:f>
        <x:v>1</x:v>
      </x:c>
      <x:c r="I49" s="24" t="str">
        <x:f>IF(ABS(E49-0.5)+ABS(F49-0.5)+ABS(G49--0.5)+ABS(H49-1)&lt;1E-8,"PASS","FAIL")</x:f>
        <x:v>PASS</x:v>
      </x:c>
      <x:c r="J49" s="32"/>
      <x:c r="K49" s="32"/>
      <x:c r="L49" s="32"/>
      <x:c r="M49" s="32"/>
      <x:c r="N49" s="32"/>
      <x:c r="O49" s="32"/>
      <x:c r="P49" s="32"/>
      <x:c r="Q49" s="32"/>
      <x:c r="R49" s="32"/>
      <x:c r="S49" s="32"/>
      <x:c r="T49" s="32"/>
      <x:c r="U49" s="32"/>
      <x:c r="V49" s="32"/>
      <x:c r="W49" s="32"/>
      <x:c r="X49" s="32"/>
      <x:c r="Y49" s="32"/>
      <x:c r="Z49" s="32"/>
    </x:row>
    <x:row r="50">
      <x:c r="A50" s="25" t="str">
        <x:v>PDLR</x:v>
      </x:c>
      <x:c r="B50" s="25" t="str">
        <x:v>W_or_peak</x:v>
      </x:c>
      <x:c r="C50" s="25" t="str">
        <x:v>increase</x:v>
      </x:c>
      <x:c r="D50" s="80" t="n">
        <x:v>0.5</x:v>
      </x:c>
      <x:c r="E50" s="36" t="n">
        <x:f>IF(C50="decrease",1-D50,1+D50)</x:f>
        <x:v>1.5</x:v>
      </x:c>
      <x:c r="F50" s="36" t="n">
        <x:f>IF(B50="K",1/E50,IF(AND(B50="r",A50="PDLR"),1,E50))</x:f>
        <x:v>1.5</x:v>
      </x:c>
      <x:c r="G50" s="38" t="n">
        <x:f>F50-1</x:f>
        <x:v>0.5</x:v>
      </x:c>
      <x:c r="H50" s="82" t="n">
        <x:f>IF(B50="K",-1,IF(AND(B50="r",A50="PDLR"),0,1))</x:f>
        <x:v>1</x:v>
      </x:c>
      <x:c r="I50" s="25" t="str">
        <x:f>IF(ABS(E50-1.5)+ABS(F50-1.5)+ABS(G50-0.5)+ABS(H50-1)&lt;1E-8,"PASS","FAIL")</x:f>
        <x:v>PASS</x:v>
      </x:c>
      <x:c r="J50" s="32"/>
      <x:c r="K50" s="32"/>
      <x:c r="L50" s="32"/>
      <x:c r="M50" s="32"/>
      <x:c r="N50" s="32"/>
      <x:c r="O50" s="32"/>
      <x:c r="P50" s="32"/>
      <x:c r="Q50" s="32"/>
      <x:c r="R50" s="32"/>
      <x:c r="S50" s="32"/>
      <x:c r="T50" s="32"/>
      <x:c r="U50" s="32"/>
      <x:c r="V50" s="32"/>
      <x:c r="W50" s="32"/>
      <x:c r="X50" s="32"/>
      <x:c r="Y50" s="32"/>
      <x:c r="Z50" s="32"/>
    </x:row>
    <x:row r="51">
      <x:c r="A51" s="24" t="str">
        <x:v>PDLR</x:v>
      </x:c>
      <x:c r="B51" s="24" t="str">
        <x:v>r</x:v>
      </x:c>
      <x:c r="C51" s="24" t="str">
        <x:v>decrease</x:v>
      </x:c>
      <x:c r="D51" s="80" t="n">
        <x:v>0.1</x:v>
      </x:c>
      <x:c r="E51" s="35" t="n">
        <x:f>IF(C51="decrease",1-D51,1+D51)</x:f>
        <x:v>0.9</x:v>
      </x:c>
      <x:c r="F51" s="35" t="n">
        <x:f>IF(B51="K",1/E51,IF(AND(B51="r",A51="PDLR"),1,E51))</x:f>
        <x:v>1</x:v>
      </x:c>
      <x:c r="G51" s="37" t="n">
        <x:f>F51-1</x:f>
        <x:v>0</x:v>
      </x:c>
      <x:c r="H51" s="81" t="n">
        <x:f>IF(B51="K",-1,IF(AND(B51="r",A51="PDLR"),0,1))</x:f>
        <x:v>0</x:v>
      </x:c>
      <x:c r="I51" s="24" t="str">
        <x:f>IF(ABS(E51-0.9)+ABS(F51-1)+ABS(G51-0)+ABS(H51-0)&lt;1E-8,"PASS","FAIL")</x:f>
        <x:v>PASS</x:v>
      </x:c>
      <x:c r="J51" s="32"/>
      <x:c r="K51" s="32"/>
      <x:c r="L51" s="32"/>
      <x:c r="M51" s="32"/>
      <x:c r="N51" s="32"/>
      <x:c r="O51" s="32"/>
      <x:c r="P51" s="32"/>
      <x:c r="Q51" s="32"/>
      <x:c r="R51" s="32"/>
      <x:c r="S51" s="32"/>
      <x:c r="T51" s="32"/>
      <x:c r="U51" s="32"/>
      <x:c r="V51" s="32"/>
      <x:c r="W51" s="32"/>
      <x:c r="X51" s="32"/>
      <x:c r="Y51" s="32"/>
      <x:c r="Z51" s="32"/>
    </x:row>
    <x:row r="52">
      <x:c r="A52" s="25" t="str">
        <x:v>PDLR</x:v>
      </x:c>
      <x:c r="B52" s="25" t="str">
        <x:v>r</x:v>
      </x:c>
      <x:c r="C52" s="25" t="str">
        <x:v>increase</x:v>
      </x:c>
      <x:c r="D52" s="80" t="n">
        <x:v>0.1</x:v>
      </x:c>
      <x:c r="E52" s="36" t="n">
        <x:f>IF(C52="decrease",1-D52,1+D52)</x:f>
        <x:v>1.1</x:v>
      </x:c>
      <x:c r="F52" s="36" t="n">
        <x:f>IF(B52="K",1/E52,IF(AND(B52="r",A52="PDLR"),1,E52))</x:f>
        <x:v>1</x:v>
      </x:c>
      <x:c r="G52" s="38" t="n">
        <x:f>F52-1</x:f>
        <x:v>0</x:v>
      </x:c>
      <x:c r="H52" s="82" t="n">
        <x:f>IF(B52="K",-1,IF(AND(B52="r",A52="PDLR"),0,1))</x:f>
        <x:v>0</x:v>
      </x:c>
      <x:c r="I52" s="25" t="str">
        <x:f>IF(ABS(E52-1.1)+ABS(F52-1)+ABS(G52-0)+ABS(H52-0)&lt;1E-8,"PASS","FAIL")</x:f>
        <x:v>PASS</x:v>
      </x:c>
      <x:c r="J52" s="32"/>
      <x:c r="K52" s="32"/>
      <x:c r="L52" s="32"/>
      <x:c r="M52" s="32"/>
      <x:c r="N52" s="32"/>
      <x:c r="O52" s="32"/>
      <x:c r="P52" s="32"/>
      <x:c r="Q52" s="32"/>
      <x:c r="R52" s="32"/>
      <x:c r="S52" s="32"/>
      <x:c r="T52" s="32"/>
      <x:c r="U52" s="32"/>
      <x:c r="V52" s="32"/>
      <x:c r="W52" s="32"/>
      <x:c r="X52" s="32"/>
      <x:c r="Y52" s="32"/>
      <x:c r="Z52" s="32"/>
    </x:row>
    <x:row r="53">
      <x:c r="A53" s="24" t="str">
        <x:v>PDLR</x:v>
      </x:c>
      <x:c r="B53" s="24" t="str">
        <x:v>r</x:v>
      </x:c>
      <x:c r="C53" s="24" t="str">
        <x:v>decrease</x:v>
      </x:c>
      <x:c r="D53" s="80" t="n">
        <x:v>0.25</x:v>
      </x:c>
      <x:c r="E53" s="35" t="n">
        <x:f>IF(C53="decrease",1-D53,1+D53)</x:f>
        <x:v>0.75</x:v>
      </x:c>
      <x:c r="F53" s="35" t="n">
        <x:f>IF(B53="K",1/E53,IF(AND(B53="r",A53="PDLR"),1,E53))</x:f>
        <x:v>1</x:v>
      </x:c>
      <x:c r="G53" s="37" t="n">
        <x:f>F53-1</x:f>
        <x:v>0</x:v>
      </x:c>
      <x:c r="H53" s="81" t="n">
        <x:f>IF(B53="K",-1,IF(AND(B53="r",A53="PDLR"),0,1))</x:f>
        <x:v>0</x:v>
      </x:c>
      <x:c r="I53" s="24" t="str">
        <x:f>IF(ABS(E53-0.75)+ABS(F53-1)+ABS(G53-0)+ABS(H53-0)&lt;1E-8,"PASS","FAIL")</x:f>
        <x:v>PASS</x:v>
      </x:c>
      <x:c r="J53" s="32"/>
      <x:c r="K53" s="32"/>
      <x:c r="L53" s="32"/>
      <x:c r="M53" s="32"/>
      <x:c r="N53" s="32"/>
      <x:c r="O53" s="32"/>
      <x:c r="P53" s="32"/>
      <x:c r="Q53" s="32"/>
      <x:c r="R53" s="32"/>
      <x:c r="S53" s="32"/>
      <x:c r="T53" s="32"/>
      <x:c r="U53" s="32"/>
      <x:c r="V53" s="32"/>
      <x:c r="W53" s="32"/>
      <x:c r="X53" s="32"/>
      <x:c r="Y53" s="32"/>
      <x:c r="Z53" s="32"/>
    </x:row>
    <x:row r="54">
      <x:c r="A54" s="25" t="str">
        <x:v>PDLR</x:v>
      </x:c>
      <x:c r="B54" s="25" t="str">
        <x:v>r</x:v>
      </x:c>
      <x:c r="C54" s="25" t="str">
        <x:v>increase</x:v>
      </x:c>
      <x:c r="D54" s="80" t="n">
        <x:v>0.25</x:v>
      </x:c>
      <x:c r="E54" s="36" t="n">
        <x:f>IF(C54="decrease",1-D54,1+D54)</x:f>
        <x:v>1.25</x:v>
      </x:c>
      <x:c r="F54" s="36" t="n">
        <x:f>IF(B54="K",1/E54,IF(AND(B54="r",A54="PDLR"),1,E54))</x:f>
        <x:v>1</x:v>
      </x:c>
      <x:c r="G54" s="38" t="n">
        <x:f>F54-1</x:f>
        <x:v>0</x:v>
      </x:c>
      <x:c r="H54" s="82" t="n">
        <x:f>IF(B54="K",-1,IF(AND(B54="r",A54="PDLR"),0,1))</x:f>
        <x:v>0</x:v>
      </x:c>
      <x:c r="I54" s="25" t="str">
        <x:f>IF(ABS(E54-1.25)+ABS(F54-1)+ABS(G54-0)+ABS(H54-0)&lt;1E-8,"PASS","FAIL")</x:f>
        <x:v>PASS</x:v>
      </x:c>
      <x:c r="J54" s="32"/>
      <x:c r="K54" s="32"/>
      <x:c r="L54" s="32"/>
      <x:c r="M54" s="32"/>
      <x:c r="N54" s="32"/>
      <x:c r="O54" s="32"/>
      <x:c r="P54" s="32"/>
      <x:c r="Q54" s="32"/>
      <x:c r="R54" s="32"/>
      <x:c r="S54" s="32"/>
      <x:c r="T54" s="32"/>
      <x:c r="U54" s="32"/>
      <x:c r="V54" s="32"/>
      <x:c r="W54" s="32"/>
      <x:c r="X54" s="32"/>
      <x:c r="Y54" s="32"/>
      <x:c r="Z54" s="32"/>
    </x:row>
    <x:row r="55">
      <x:c r="A55" s="24" t="str">
        <x:v>PDLR</x:v>
      </x:c>
      <x:c r="B55" s="24" t="str">
        <x:v>r</x:v>
      </x:c>
      <x:c r="C55" s="24" t="str">
        <x:v>decrease</x:v>
      </x:c>
      <x:c r="D55" s="80" t="n">
        <x:v>0.5</x:v>
      </x:c>
      <x:c r="E55" s="35" t="n">
        <x:f>IF(C55="decrease",1-D55,1+D55)</x:f>
        <x:v>0.5</x:v>
      </x:c>
      <x:c r="F55" s="35" t="n">
        <x:f>IF(B55="K",1/E55,IF(AND(B55="r",A55="PDLR"),1,E55))</x:f>
        <x:v>1</x:v>
      </x:c>
      <x:c r="G55" s="37" t="n">
        <x:f>F55-1</x:f>
        <x:v>0</x:v>
      </x:c>
      <x:c r="H55" s="81" t="n">
        <x:f>IF(B55="K",-1,IF(AND(B55="r",A55="PDLR"),0,1))</x:f>
        <x:v>0</x:v>
      </x:c>
      <x:c r="I55" s="24" t="str">
        <x:f>IF(ABS(E55-0.5)+ABS(F55-1)+ABS(G55-0)+ABS(H55-0)&lt;1E-8,"PASS","FAIL")</x:f>
        <x:v>PASS</x:v>
      </x:c>
      <x:c r="J55" s="32"/>
      <x:c r="K55" s="32"/>
      <x:c r="L55" s="32"/>
      <x:c r="M55" s="32"/>
      <x:c r="N55" s="32"/>
      <x:c r="O55" s="32"/>
      <x:c r="P55" s="32"/>
      <x:c r="Q55" s="32"/>
      <x:c r="R55" s="32"/>
      <x:c r="S55" s="32"/>
      <x:c r="T55" s="32"/>
      <x:c r="U55" s="32"/>
      <x:c r="V55" s="32"/>
      <x:c r="W55" s="32"/>
      <x:c r="X55" s="32"/>
      <x:c r="Y55" s="32"/>
      <x:c r="Z55" s="32"/>
    </x:row>
    <x:row r="56">
      <x:c r="A56" s="25" t="str">
        <x:v>PDLR</x:v>
      </x:c>
      <x:c r="B56" s="25" t="str">
        <x:v>r</x:v>
      </x:c>
      <x:c r="C56" s="25" t="str">
        <x:v>increase</x:v>
      </x:c>
      <x:c r="D56" s="80" t="n">
        <x:v>0.5</x:v>
      </x:c>
      <x:c r="E56" s="36" t="n">
        <x:f>IF(C56="decrease",1-D56,1+D56)</x:f>
        <x:v>1.5</x:v>
      </x:c>
      <x:c r="F56" s="36" t="n">
        <x:f>IF(B56="K",1/E56,IF(AND(B56="r",A56="PDLR"),1,E56))</x:f>
        <x:v>1</x:v>
      </x:c>
      <x:c r="G56" s="38" t="n">
        <x:f>F56-1</x:f>
        <x:v>0</x:v>
      </x:c>
      <x:c r="H56" s="82" t="n">
        <x:f>IF(B56="K",-1,IF(AND(B56="r",A56="PDLR"),0,1))</x:f>
        <x:v>0</x:v>
      </x:c>
      <x:c r="I56" s="25" t="str">
        <x:f>IF(ABS(E56-1.5)+ABS(F56-1)+ABS(G56-0)+ABS(H56-0)&lt;1E-8,"PASS","FAIL")</x:f>
        <x:v>PASS</x:v>
      </x:c>
      <x:c r="J56" s="32"/>
      <x:c r="K56" s="32"/>
      <x:c r="L56" s="32"/>
      <x:c r="M56" s="32"/>
      <x:c r="N56" s="32"/>
      <x:c r="O56" s="32"/>
      <x:c r="P56" s="32"/>
      <x:c r="Q56" s="32"/>
      <x:c r="R56" s="32"/>
      <x:c r="S56" s="32"/>
      <x:c r="T56" s="32"/>
      <x:c r="U56" s="32"/>
      <x:c r="V56" s="32"/>
      <x:c r="W56" s="32"/>
      <x:c r="X56" s="32"/>
      <x:c r="Y56" s="32"/>
      <x:c r="Z56" s="32"/>
    </x:row>
    <x:row r="57">
      <x:c r="A57" s="24" t="str">
        <x:v>PDLR</x:v>
      </x:c>
      <x:c r="B57" s="24" t="str">
        <x:v>PF</x:v>
      </x:c>
      <x:c r="C57" s="24" t="str">
        <x:v>decrease</x:v>
      </x:c>
      <x:c r="D57" s="80" t="n">
        <x:v>0.1</x:v>
      </x:c>
      <x:c r="E57" s="35" t="n">
        <x:f>IF(C57="decrease",1-D57,1+D57)</x:f>
        <x:v>0.9</x:v>
      </x:c>
      <x:c r="F57" s="35" t="n">
        <x:f>IF(B57="K",1/E57,IF(AND(B57="r",A57="PDLR"),1,E57))</x:f>
        <x:v>0.9</x:v>
      </x:c>
      <x:c r="G57" s="37" t="n">
        <x:f>F57-1</x:f>
        <x:v>-0.09999999999999998</x:v>
      </x:c>
      <x:c r="H57" s="81" t="n">
        <x:f>IF(B57="K",-1,IF(AND(B57="r",A57="PDLR"),0,1))</x:f>
        <x:v>1</x:v>
      </x:c>
      <x:c r="I57" s="24" t="str">
        <x:f>IF(ABS(E57-0.9)+ABS(F57-0.9)+ABS(G57--0.1)+ABS(H57-1)&lt;1E-8,"PASS","FAIL")</x:f>
        <x:v>PASS</x:v>
      </x:c>
      <x:c r="J57" s="32"/>
      <x:c r="K57" s="32"/>
      <x:c r="L57" s="32"/>
      <x:c r="M57" s="32"/>
      <x:c r="N57" s="32"/>
      <x:c r="O57" s="32"/>
      <x:c r="P57" s="32"/>
      <x:c r="Q57" s="32"/>
      <x:c r="R57" s="32"/>
      <x:c r="S57" s="32"/>
      <x:c r="T57" s="32"/>
      <x:c r="U57" s="32"/>
      <x:c r="V57" s="32"/>
      <x:c r="W57" s="32"/>
      <x:c r="X57" s="32"/>
      <x:c r="Y57" s="32"/>
      <x:c r="Z57" s="32"/>
    </x:row>
    <x:row r="58">
      <x:c r="A58" s="25" t="str">
        <x:v>PDLR</x:v>
      </x:c>
      <x:c r="B58" s="25" t="str">
        <x:v>PF</x:v>
      </x:c>
      <x:c r="C58" s="25" t="str">
        <x:v>increase</x:v>
      </x:c>
      <x:c r="D58" s="80" t="n">
        <x:v>0.1</x:v>
      </x:c>
      <x:c r="E58" s="36" t="n">
        <x:f>IF(C58="decrease",1-D58,1+D58)</x:f>
        <x:v>1.1</x:v>
      </x:c>
      <x:c r="F58" s="36" t="n">
        <x:f>IF(B58="K",1/E58,IF(AND(B58="r",A58="PDLR"),1,E58))</x:f>
        <x:v>1.1</x:v>
      </x:c>
      <x:c r="G58" s="38" t="n">
        <x:f>F58-1</x:f>
        <x:v>0.10000000000000009</x:v>
      </x:c>
      <x:c r="H58" s="82" t="n">
        <x:f>IF(B58="K",-1,IF(AND(B58="r",A58="PDLR"),0,1))</x:f>
        <x:v>1</x:v>
      </x:c>
      <x:c r="I58" s="25" t="str">
        <x:f>IF(ABS(E58-1.1)+ABS(F58-1.1)+ABS(G58-0.1)+ABS(H58-1)&lt;1E-8,"PASS","FAIL")</x:f>
        <x:v>PASS</x:v>
      </x:c>
      <x:c r="J58" s="32"/>
      <x:c r="K58" s="32"/>
      <x:c r="L58" s="32"/>
      <x:c r="M58" s="32"/>
      <x:c r="N58" s="32"/>
      <x:c r="O58" s="32"/>
      <x:c r="P58" s="32"/>
      <x:c r="Q58" s="32"/>
      <x:c r="R58" s="32"/>
      <x:c r="S58" s="32"/>
      <x:c r="T58" s="32"/>
      <x:c r="U58" s="32"/>
      <x:c r="V58" s="32"/>
      <x:c r="W58" s="32"/>
      <x:c r="X58" s="32"/>
      <x:c r="Y58" s="32"/>
      <x:c r="Z58" s="32"/>
    </x:row>
    <x:row r="59">
      <x:c r="A59" s="24" t="str">
        <x:v>PDLR</x:v>
      </x:c>
      <x:c r="B59" s="24" t="str">
        <x:v>PF</x:v>
      </x:c>
      <x:c r="C59" s="24" t="str">
        <x:v>decrease</x:v>
      </x:c>
      <x:c r="D59" s="80" t="n">
        <x:v>0.25</x:v>
      </x:c>
      <x:c r="E59" s="35" t="n">
        <x:f>IF(C59="decrease",1-D59,1+D59)</x:f>
        <x:v>0.75</x:v>
      </x:c>
      <x:c r="F59" s="35" t="n">
        <x:f>IF(B59="K",1/E59,IF(AND(B59="r",A59="PDLR"),1,E59))</x:f>
        <x:v>0.75</x:v>
      </x:c>
      <x:c r="G59" s="37" t="n">
        <x:f>F59-1</x:f>
        <x:v>-0.25</x:v>
      </x:c>
      <x:c r="H59" s="81" t="n">
        <x:f>IF(B59="K",-1,IF(AND(B59="r",A59="PDLR"),0,1))</x:f>
        <x:v>1</x:v>
      </x:c>
      <x:c r="I59" s="24" t="str">
        <x:f>IF(ABS(E59-0.75)+ABS(F59-0.75)+ABS(G59--0.25)+ABS(H59-1)&lt;1E-8,"PASS","FAIL")</x:f>
        <x:v>PASS</x:v>
      </x:c>
      <x:c r="J59" s="32"/>
      <x:c r="K59" s="32"/>
      <x:c r="L59" s="32"/>
      <x:c r="M59" s="32"/>
      <x:c r="N59" s="32"/>
      <x:c r="O59" s="32"/>
      <x:c r="P59" s="32"/>
      <x:c r="Q59" s="32"/>
      <x:c r="R59" s="32"/>
      <x:c r="S59" s="32"/>
      <x:c r="T59" s="32"/>
      <x:c r="U59" s="32"/>
      <x:c r="V59" s="32"/>
      <x:c r="W59" s="32"/>
      <x:c r="X59" s="32"/>
      <x:c r="Y59" s="32"/>
      <x:c r="Z59" s="32"/>
    </x:row>
    <x:row r="60">
      <x:c r="A60" s="25" t="str">
        <x:v>PDLR</x:v>
      </x:c>
      <x:c r="B60" s="25" t="str">
        <x:v>PF</x:v>
      </x:c>
      <x:c r="C60" s="25" t="str">
        <x:v>increase</x:v>
      </x:c>
      <x:c r="D60" s="80" t="n">
        <x:v>0.25</x:v>
      </x:c>
      <x:c r="E60" s="36" t="n">
        <x:f>IF(C60="decrease",1-D60,1+D60)</x:f>
        <x:v>1.25</x:v>
      </x:c>
      <x:c r="F60" s="36" t="n">
        <x:f>IF(B60="K",1/E60,IF(AND(B60="r",A60="PDLR"),1,E60))</x:f>
        <x:v>1.25</x:v>
      </x:c>
      <x:c r="G60" s="38" t="n">
        <x:f>F60-1</x:f>
        <x:v>0.25</x:v>
      </x:c>
      <x:c r="H60" s="82" t="n">
        <x:f>IF(B60="K",-1,IF(AND(B60="r",A60="PDLR"),0,1))</x:f>
        <x:v>1</x:v>
      </x:c>
      <x:c r="I60" s="25" t="str">
        <x:f>IF(ABS(E60-1.25)+ABS(F60-1.25)+ABS(G60-0.25)+ABS(H60-1)&lt;1E-8,"PASS","FAIL")</x:f>
        <x:v>PASS</x:v>
      </x:c>
      <x:c r="J60" s="32"/>
      <x:c r="K60" s="32"/>
      <x:c r="L60" s="32"/>
      <x:c r="M60" s="32"/>
      <x:c r="N60" s="32"/>
      <x:c r="O60" s="32"/>
      <x:c r="P60" s="32"/>
      <x:c r="Q60" s="32"/>
      <x:c r="R60" s="32"/>
      <x:c r="S60" s="32"/>
      <x:c r="T60" s="32"/>
      <x:c r="U60" s="32"/>
      <x:c r="V60" s="32"/>
      <x:c r="W60" s="32"/>
      <x:c r="X60" s="32"/>
      <x:c r="Y60" s="32"/>
      <x:c r="Z60" s="32"/>
    </x:row>
    <x:row r="61">
      <x:c r="A61" s="24" t="str">
        <x:v>PDLR</x:v>
      </x:c>
      <x:c r="B61" s="24" t="str">
        <x:v>PF</x:v>
      </x:c>
      <x:c r="C61" s="24" t="str">
        <x:v>decrease</x:v>
      </x:c>
      <x:c r="D61" s="80" t="n">
        <x:v>0.5</x:v>
      </x:c>
      <x:c r="E61" s="35" t="n">
        <x:f>IF(C61="decrease",1-D61,1+D61)</x:f>
        <x:v>0.5</x:v>
      </x:c>
      <x:c r="F61" s="35" t="n">
        <x:f>IF(B61="K",1/E61,IF(AND(B61="r",A61="PDLR"),1,E61))</x:f>
        <x:v>0.5</x:v>
      </x:c>
      <x:c r="G61" s="37" t="n">
        <x:f>F61-1</x:f>
        <x:v>-0.5</x:v>
      </x:c>
      <x:c r="H61" s="81" t="n">
        <x:f>IF(B61="K",-1,IF(AND(B61="r",A61="PDLR"),0,1))</x:f>
        <x:v>1</x:v>
      </x:c>
      <x:c r="I61" s="24" t="str">
        <x:f>IF(ABS(E61-0.5)+ABS(F61-0.5)+ABS(G61--0.5)+ABS(H61-1)&lt;1E-8,"PASS","FAIL")</x:f>
        <x:v>PASS</x:v>
      </x:c>
      <x:c r="J61" s="32"/>
      <x:c r="K61" s="32"/>
      <x:c r="L61" s="32"/>
      <x:c r="M61" s="32"/>
      <x:c r="N61" s="32"/>
      <x:c r="O61" s="32"/>
      <x:c r="P61" s="32"/>
      <x:c r="Q61" s="32"/>
      <x:c r="R61" s="32"/>
      <x:c r="S61" s="32"/>
      <x:c r="T61" s="32"/>
      <x:c r="U61" s="32"/>
      <x:c r="V61" s="32"/>
      <x:c r="W61" s="32"/>
      <x:c r="X61" s="32"/>
      <x:c r="Y61" s="32"/>
      <x:c r="Z61" s="32"/>
    </x:row>
    <x:row r="62">
      <x:c r="A62" s="25" t="str">
        <x:v>PDLR</x:v>
      </x:c>
      <x:c r="B62" s="25" t="str">
        <x:v>PF</x:v>
      </x:c>
      <x:c r="C62" s="25" t="str">
        <x:v>increase</x:v>
      </x:c>
      <x:c r="D62" s="80" t="n">
        <x:v>0.5</x:v>
      </x:c>
      <x:c r="E62" s="36" t="n">
        <x:f>IF(C62="decrease",1-D62,1+D62)</x:f>
        <x:v>1.5</x:v>
      </x:c>
      <x:c r="F62" s="36" t="n">
        <x:f>IF(B62="K",1/E62,IF(AND(B62="r",A62="PDLR"),1,E62))</x:f>
        <x:v>1.5</x:v>
      </x:c>
      <x:c r="G62" s="38" t="n">
        <x:f>F62-1</x:f>
        <x:v>0.5</x:v>
      </x:c>
      <x:c r="H62" s="82" t="n">
        <x:f>IF(B62="K",-1,IF(AND(B62="r",A62="PDLR"),0,1))</x:f>
        <x:v>1</x:v>
      </x:c>
      <x:c r="I62" s="25" t="str">
        <x:f>IF(ABS(E62-1.5)+ABS(F62-1.5)+ABS(G62-0.5)+ABS(H62-1)&lt;1E-8,"PASS","FAIL")</x:f>
        <x:v>PASS</x:v>
      </x:c>
      <x:c r="J62" s="32"/>
      <x:c r="K62" s="32"/>
      <x:c r="L62" s="32"/>
      <x:c r="M62" s="32"/>
      <x:c r="N62" s="32"/>
      <x:c r="O62" s="32"/>
      <x:c r="P62" s="32"/>
      <x:c r="Q62" s="32"/>
      <x:c r="R62" s="32"/>
      <x:c r="S62" s="32"/>
      <x:c r="T62" s="32"/>
      <x:c r="U62" s="32"/>
      <x:c r="V62" s="32"/>
      <x:c r="W62" s="32"/>
      <x:c r="X62" s="32"/>
      <x:c r="Y62" s="32"/>
      <x:c r="Z62" s="32"/>
    </x:row>
    <x:row r="63">
      <x:c r="A63" s="24" t="str">
        <x:v>PDLR</x:v>
      </x:c>
      <x:c r="B63" s="24" t="str">
        <x:v>K</x:v>
      </x:c>
      <x:c r="C63" s="24" t="str">
        <x:v>decrease</x:v>
      </x:c>
      <x:c r="D63" s="80" t="n">
        <x:v>0.1</x:v>
      </x:c>
      <x:c r="E63" s="35" t="n">
        <x:f>IF(C63="decrease",1-D63,1+D63)</x:f>
        <x:v>0.9</x:v>
      </x:c>
      <x:c r="F63" s="35" t="n">
        <x:f>IF(B63="K",1/E63,IF(AND(B63="r",A63="PDLR"),1,E63))</x:f>
        <x:v>1.1111111111111112</x:v>
      </x:c>
      <x:c r="G63" s="37" t="n">
        <x:f>F63-1</x:f>
        <x:v>0.11111111111111116</x:v>
      </x:c>
      <x:c r="H63" s="81" t="n">
        <x:f>IF(B63="K",-1,IF(AND(B63="r",A63="PDLR"),0,1))</x:f>
        <x:v>-1</x:v>
      </x:c>
      <x:c r="I63" s="24" t="str">
        <x:f>IF(ABS(E63-0.9)+ABS(F63-1.11111111111)+ABS(G63-0.111111111111)+ABS(H63--1)&lt;1E-8,"PASS","FAIL")</x:f>
        <x:v>PASS</x:v>
      </x:c>
      <x:c r="J63" s="32"/>
      <x:c r="K63" s="32"/>
      <x:c r="L63" s="32"/>
      <x:c r="M63" s="32"/>
      <x:c r="N63" s="32"/>
      <x:c r="O63" s="32"/>
      <x:c r="P63" s="32"/>
      <x:c r="Q63" s="32"/>
      <x:c r="R63" s="32"/>
      <x:c r="S63" s="32"/>
      <x:c r="T63" s="32"/>
      <x:c r="U63" s="32"/>
      <x:c r="V63" s="32"/>
      <x:c r="W63" s="32"/>
      <x:c r="X63" s="32"/>
      <x:c r="Y63" s="32"/>
      <x:c r="Z63" s="32"/>
    </x:row>
    <x:row r="64">
      <x:c r="A64" s="25" t="str">
        <x:v>PDLR</x:v>
      </x:c>
      <x:c r="B64" s="25" t="str">
        <x:v>K</x:v>
      </x:c>
      <x:c r="C64" s="25" t="str">
        <x:v>increase</x:v>
      </x:c>
      <x:c r="D64" s="80" t="n">
        <x:v>0.1</x:v>
      </x:c>
      <x:c r="E64" s="36" t="n">
        <x:f>IF(C64="decrease",1-D64,1+D64)</x:f>
        <x:v>1.1</x:v>
      </x:c>
      <x:c r="F64" s="36" t="n">
        <x:f>IF(B64="K",1/E64,IF(AND(B64="r",A64="PDLR"),1,E64))</x:f>
        <x:v>0.9090909090909091</x:v>
      </x:c>
      <x:c r="G64" s="38" t="n">
        <x:f>F64-1</x:f>
        <x:v>-0.09090909090909094</x:v>
      </x:c>
      <x:c r="H64" s="82" t="n">
        <x:f>IF(B64="K",-1,IF(AND(B64="r",A64="PDLR"),0,1))</x:f>
        <x:v>-1</x:v>
      </x:c>
      <x:c r="I64" s="25" t="str">
        <x:f>IF(ABS(E64-1.1)+ABS(F64-0.909090909091)+ABS(G64--0.09090909090909999)+ABS(H64--1)&lt;1E-8,"PASS","FAIL")</x:f>
        <x:v>PASS</x:v>
      </x:c>
      <x:c r="J64" s="32"/>
      <x:c r="K64" s="32"/>
      <x:c r="L64" s="32"/>
      <x:c r="M64" s="32"/>
      <x:c r="N64" s="32"/>
      <x:c r="O64" s="32"/>
      <x:c r="P64" s="32"/>
      <x:c r="Q64" s="32"/>
      <x:c r="R64" s="32"/>
      <x:c r="S64" s="32"/>
      <x:c r="T64" s="32"/>
      <x:c r="U64" s="32"/>
      <x:c r="V64" s="32"/>
      <x:c r="W64" s="32"/>
      <x:c r="X64" s="32"/>
      <x:c r="Y64" s="32"/>
      <x:c r="Z64" s="32"/>
    </x:row>
    <x:row r="65">
      <x:c r="A65" s="24" t="str">
        <x:v>PDLR</x:v>
      </x:c>
      <x:c r="B65" s="24" t="str">
        <x:v>K</x:v>
      </x:c>
      <x:c r="C65" s="24" t="str">
        <x:v>decrease</x:v>
      </x:c>
      <x:c r="D65" s="80" t="n">
        <x:v>0.25</x:v>
      </x:c>
      <x:c r="E65" s="35" t="n">
        <x:f>IF(C65="decrease",1-D65,1+D65)</x:f>
        <x:v>0.75</x:v>
      </x:c>
      <x:c r="F65" s="35" t="n">
        <x:f>IF(B65="K",1/E65,IF(AND(B65="r",A65="PDLR"),1,E65))</x:f>
        <x:v>1.3333333333333333</x:v>
      </x:c>
      <x:c r="G65" s="37" t="n">
        <x:f>F65-1</x:f>
        <x:v>0.33333333333333326</x:v>
      </x:c>
      <x:c r="H65" s="81" t="n">
        <x:f>IF(B65="K",-1,IF(AND(B65="r",A65="PDLR"),0,1))</x:f>
        <x:v>-1</x:v>
      </x:c>
      <x:c r="I65" s="24" t="str">
        <x:f>IF(ABS(E65-0.75)+ABS(F65-1.33333333333)+ABS(G65-0.33333333333299997)+ABS(H65--1)&lt;1E-8,"PASS","FAIL")</x:f>
        <x:v>PASS</x:v>
      </x:c>
      <x:c r="J65" s="32"/>
      <x:c r="K65" s="32"/>
      <x:c r="L65" s="32"/>
      <x:c r="M65" s="32"/>
      <x:c r="N65" s="32"/>
      <x:c r="O65" s="32"/>
      <x:c r="P65" s="32"/>
      <x:c r="Q65" s="32"/>
      <x:c r="R65" s="32"/>
      <x:c r="S65" s="32"/>
      <x:c r="T65" s="32"/>
      <x:c r="U65" s="32"/>
      <x:c r="V65" s="32"/>
      <x:c r="W65" s="32"/>
      <x:c r="X65" s="32"/>
      <x:c r="Y65" s="32"/>
      <x:c r="Z65" s="32"/>
    </x:row>
    <x:row r="66">
      <x:c r="A66" s="25" t="str">
        <x:v>PDLR</x:v>
      </x:c>
      <x:c r="B66" s="25" t="str">
        <x:v>K</x:v>
      </x:c>
      <x:c r="C66" s="25" t="str">
        <x:v>increase</x:v>
      </x:c>
      <x:c r="D66" s="80" t="n">
        <x:v>0.25</x:v>
      </x:c>
      <x:c r="E66" s="36" t="n">
        <x:f>IF(C66="decrease",1-D66,1+D66)</x:f>
        <x:v>1.25</x:v>
      </x:c>
      <x:c r="F66" s="36" t="n">
        <x:f>IF(B66="K",1/E66,IF(AND(B66="r",A66="PDLR"),1,E66))</x:f>
        <x:v>0.8</x:v>
      </x:c>
      <x:c r="G66" s="38" t="n">
        <x:f>F66-1</x:f>
        <x:v>-0.19999999999999996</x:v>
      </x:c>
      <x:c r="H66" s="82" t="n">
        <x:f>IF(B66="K",-1,IF(AND(B66="r",A66="PDLR"),0,1))</x:f>
        <x:v>-1</x:v>
      </x:c>
      <x:c r="I66" s="25" t="str">
        <x:f>IF(ABS(E66-1.25)+ABS(F66-0.8)+ABS(G66--0.2)+ABS(H66--1)&lt;1E-8,"PASS","FAIL")</x:f>
        <x:v>PASS</x:v>
      </x:c>
      <x:c r="J66" s="32"/>
      <x:c r="K66" s="32"/>
      <x:c r="L66" s="32"/>
      <x:c r="M66" s="32"/>
      <x:c r="N66" s="32"/>
      <x:c r="O66" s="32"/>
      <x:c r="P66" s="32"/>
      <x:c r="Q66" s="32"/>
      <x:c r="R66" s="32"/>
      <x:c r="S66" s="32"/>
      <x:c r="T66" s="32"/>
      <x:c r="U66" s="32"/>
      <x:c r="V66" s="32"/>
      <x:c r="W66" s="32"/>
      <x:c r="X66" s="32"/>
      <x:c r="Y66" s="32"/>
      <x:c r="Z66" s="32"/>
    </x:row>
    <x:row r="67">
      <x:c r="A67" s="24" t="str">
        <x:v>PDLR</x:v>
      </x:c>
      <x:c r="B67" s="24" t="str">
        <x:v>K</x:v>
      </x:c>
      <x:c r="C67" s="24" t="str">
        <x:v>decrease</x:v>
      </x:c>
      <x:c r="D67" s="80" t="n">
        <x:v>0.5</x:v>
      </x:c>
      <x:c r="E67" s="35" t="n">
        <x:f>IF(C67="decrease",1-D67,1+D67)</x:f>
        <x:v>0.5</x:v>
      </x:c>
      <x:c r="F67" s="35" t="n">
        <x:f>IF(B67="K",1/E67,IF(AND(B67="r",A67="PDLR"),1,E67))</x:f>
        <x:v>2</x:v>
      </x:c>
      <x:c r="G67" s="37" t="n">
        <x:f>F67-1</x:f>
        <x:v>1</x:v>
      </x:c>
      <x:c r="H67" s="81" t="n">
        <x:f>IF(B67="K",-1,IF(AND(B67="r",A67="PDLR"),0,1))</x:f>
        <x:v>-1</x:v>
      </x:c>
      <x:c r="I67" s="24" t="str">
        <x:f>IF(ABS(E67-0.5)+ABS(F67-2)+ABS(G67-1)+ABS(H67--1)&lt;1E-8,"PASS","FAIL")</x:f>
        <x:v>PASS</x:v>
      </x:c>
      <x:c r="J67" s="32"/>
      <x:c r="K67" s="32"/>
      <x:c r="L67" s="32"/>
      <x:c r="M67" s="32"/>
      <x:c r="N67" s="32"/>
      <x:c r="O67" s="32"/>
      <x:c r="P67" s="32"/>
      <x:c r="Q67" s="32"/>
      <x:c r="R67" s="32"/>
      <x:c r="S67" s="32"/>
      <x:c r="T67" s="32"/>
      <x:c r="U67" s="32"/>
      <x:c r="V67" s="32"/>
      <x:c r="W67" s="32"/>
      <x:c r="X67" s="32"/>
      <x:c r="Y67" s="32"/>
      <x:c r="Z67" s="32"/>
    </x:row>
    <x:row r="68">
      <x:c r="A68" s="25" t="str">
        <x:v>PDLR</x:v>
      </x:c>
      <x:c r="B68" s="25" t="str">
        <x:v>K</x:v>
      </x:c>
      <x:c r="C68" s="25" t="str">
        <x:v>increase</x:v>
      </x:c>
      <x:c r="D68" s="80" t="n">
        <x:v>0.5</x:v>
      </x:c>
      <x:c r="E68" s="36" t="n">
        <x:f>IF(C68="decrease",1-D68,1+D68)</x:f>
        <x:v>1.5</x:v>
      </x:c>
      <x:c r="F68" s="36" t="n">
        <x:f>IF(B68="K",1/E68,IF(AND(B68="r",A68="PDLR"),1,E68))</x:f>
        <x:v>0.6666666666666666</x:v>
      </x:c>
      <x:c r="G68" s="38" t="n">
        <x:f>F68-1</x:f>
        <x:v>-0.33333333333333337</x:v>
      </x:c>
      <x:c r="H68" s="82" t="n">
        <x:f>IF(B68="K",-1,IF(AND(B68="r",A68="PDLR"),0,1))</x:f>
        <x:v>-1</x:v>
      </x:c>
      <x:c r="I68" s="25" t="str">
        <x:f>IF(ABS(E68-1.5)+ABS(F68-0.666666666667)+ABS(G68--0.33333333333299997)+ABS(H68--1)&lt;1E-8,"PASS","FAIL")</x:f>
        <x:v>PASS</x:v>
      </x:c>
      <x:c r="J68" s="32"/>
      <x:c r="K68" s="32"/>
      <x:c r="L68" s="32"/>
      <x:c r="M68" s="32"/>
      <x:c r="N68" s="32"/>
      <x:c r="O68" s="32"/>
      <x:c r="P68" s="32"/>
      <x:c r="Q68" s="32"/>
      <x:c r="R68" s="32"/>
      <x:c r="S68" s="32"/>
      <x:c r="T68" s="32"/>
      <x:c r="U68" s="32"/>
      <x:c r="V68" s="32"/>
      <x:c r="W68" s="32"/>
      <x:c r="X68" s="32"/>
      <x:c r="Y68" s="32"/>
      <x:c r="Z68" s="32"/>
    </x:row>
  </x:sheetData>
  <x:mergeCells>
    <x:mergeCell ref="A1:Z1"/>
    <x:mergeCell ref="A2:Z2"/>
    <x:mergeCell ref="A4:J4"/>
    <x:mergeCell ref="A19:I19"/>
    <x:mergeCell ref="K19:Z19"/>
  </x:mergeCells>
  <x:pageMargins left="0.7" right="0.7" top="0.75" bottom="0.75" header="0.3" footer="0.3"/>
</x:worksheet>
</file>